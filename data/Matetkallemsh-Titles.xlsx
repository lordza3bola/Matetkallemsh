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Ezay testa5demha" sheetId="1" state="visible" r:id="rId1"/>
    <sheet xmlns:r="http://schemas.openxmlformats.org/officeDocument/2006/relationships" name="3anaween" sheetId="2" state="visible" r:id="rId2"/>
    <sheet xmlns:r="http://schemas.openxmlformats.org/officeDocument/2006/relationships" name="Malakhas" sheetId="3" state="visible" r:id="rId3"/>
  </sheets>
  <definedNames>
    <definedName name="_xlnm._FilterDatabase" localSheetId="1" hidden="1">'3anaween'!$A$1:$N$330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1410"/>
      <sz val="16"/>
    </font>
    <font>
      <name val="Arial"/>
      <charset val="1"/>
      <family val="0"/>
      <b val="1"/>
      <color rgb="FF1F1410"/>
      <sz val="11"/>
    </font>
    <font>
      <name val="Arial"/>
      <charset val="1"/>
      <family val="0"/>
      <color rgb="FF1F1410"/>
      <sz val="11"/>
    </font>
    <font>
      <name val="Arial"/>
      <charset val="1"/>
      <family val="0"/>
      <b val="1"/>
      <color rgb="FFF6E7C8"/>
      <sz val="11"/>
    </font>
    <font>
      <name val="Arial"/>
      <charset val="1"/>
      <family val="0"/>
      <b val="1"/>
      <color rgb="FF1F1410"/>
      <sz val="12"/>
    </font>
  </fonts>
  <fills count="5">
    <fill>
      <patternFill/>
    </fill>
    <fill>
      <patternFill patternType="gray125"/>
    </fill>
    <fill>
      <patternFill patternType="solid">
        <fgColor rgb="FFFFF8EA"/>
        <bgColor rgb="FFF6E7C8"/>
      </patternFill>
    </fill>
    <fill>
      <patternFill patternType="solid">
        <fgColor rgb="FFEDE3CF"/>
        <bgColor rgb="FFF6E7C8"/>
      </patternFill>
    </fill>
    <fill>
      <patternFill patternType="solid">
        <fgColor rgb="FF1F1410"/>
        <bgColor rgb="FF000000"/>
      </patternFill>
    </fill>
  </fills>
  <borders count="2">
    <border>
      <left/>
      <right/>
      <top/>
      <bottom/>
      <diagonal/>
    </border>
    <border>
      <left style="thin">
        <color rgb="FFCDBF9F"/>
      </left>
      <right style="thin">
        <color rgb="FFCDBF9F"/>
      </right>
      <top style="thin">
        <color rgb="FFCDBF9F"/>
      </top>
      <bottom style="thin">
        <color rgb="FFCDBF9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readingOrder="1"/>
    </xf>
    <xf numFmtId="0" fontId="8" fillId="2" borderId="1" applyAlignment="1" pivotButton="0" quotePrefix="0" xfId="0">
      <alignment horizontal="right" vertical="center" readingOrder="2"/>
    </xf>
    <xf numFmtId="0" fontId="6" fillId="2" borderId="1" applyAlignment="1" pivotButton="0" quotePrefix="0" xfId="0">
      <alignment horizontal="left" vertical="center" readingOrder="1"/>
    </xf>
    <xf numFmtId="0" fontId="6" fillId="2" borderId="1" applyAlignment="1" pivotButton="0" quotePrefix="0" xfId="0">
      <alignment horizontal="center" vertical="center" readingOrder="1"/>
    </xf>
    <xf numFmtId="0" fontId="6" fillId="2" borderId="1" applyAlignment="1" pivotButton="0" quotePrefix="0" xfId="0">
      <alignment horizontal="right" vertical="center" readingOrder="2"/>
    </xf>
    <xf numFmtId="0" fontId="6" fillId="3" borderId="1" applyAlignment="1" pivotButton="0" quotePrefix="0" xfId="0">
      <alignment horizontal="right" vertical="center" readingOrder="2"/>
    </xf>
    <xf numFmtId="0" fontId="4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readingOrder="1"/>
    </xf>
    <xf numFmtId="0" fontId="8" fillId="2" borderId="1" applyAlignment="1" pivotButton="0" quotePrefix="0" xfId="0">
      <alignment horizontal="right" vertical="center" readingOrder="2"/>
    </xf>
    <xf numFmtId="0" fontId="6" fillId="2" borderId="1" applyAlignment="1" pivotButton="0" quotePrefix="0" xfId="0">
      <alignment horizontal="left" vertical="center" readingOrder="1"/>
    </xf>
    <xf numFmtId="0" fontId="6" fillId="2" borderId="1" applyAlignment="1" pivotButton="0" quotePrefix="0" xfId="0">
      <alignment horizontal="center" vertical="center" readingOrder="1"/>
    </xf>
    <xf numFmtId="0" fontId="6" fillId="2" borderId="1" applyAlignment="1" pivotButton="0" quotePrefix="0" xfId="0">
      <alignment horizontal="right" vertical="center" readingOrder="2"/>
    </xf>
    <xf numFmtId="0" fontId="6" fillId="3" borderId="1" applyAlignment="1" pivotButton="0" quotePrefix="0" xfId="0">
      <alignment horizontal="right" vertical="center" readingOrder="2"/>
    </xf>
    <xf numFmtId="0" fontId="4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1410"/>
          <bgColor rgb="FF000000"/>
        </patternFill>
      </fill>
    </dxf>
    <dxf>
      <fill>
        <patternFill patternType="solid">
          <fgColor rgb="FFEDE3CF"/>
          <bgColor rgb="FF000000"/>
        </patternFill>
      </fill>
    </dxf>
    <dxf>
      <fill>
        <patternFill patternType="solid">
          <fgColor rgb="FFF6E7C8"/>
          <bgColor rgb="FF000000"/>
        </patternFill>
      </fill>
    </dxf>
    <dxf>
      <fill>
        <patternFill patternType="solid">
          <fgColor rgb="FFFFF8EA"/>
          <bgColor rgb="FF000000"/>
        </patternFill>
      </fill>
    </dxf>
    <dxf>
      <fill>
        <patternFill patternType="solid">
          <fgColor rgb="FFF3B62E"/>
          <bgColor rgb="FF000000"/>
        </patternFill>
      </fill>
    </dxf>
    <dxf>
      <font>
        <name val="Arial"/>
        <charset val="1"/>
        <family val="0"/>
        <b val="1"/>
        <color rgb="FF1F1410"/>
      </font>
      <fill>
        <patternFill>
          <bgColor rgb="FFF3B62E"/>
        </patternFill>
      </fill>
    </dxf>
    <dxf>
      <fill>
        <patternFill>
          <bgColor rgb="FFC9DDB7"/>
        </patternFill>
      </fill>
    </dxf>
    <dxf>
      <fill>
        <patternFill>
          <bgColor rgb="FFE9B5AC"/>
        </patternFill>
      </fill>
    </dxf>
  </dxfs>
  <colors>
    <indexedColors>
      <rgbColor rgb="FF000000"/>
      <rgbColor rgb="FFFFF8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DBF9F"/>
      <rgbColor rgb="FF808080"/>
      <rgbColor rgb="FF9999FF"/>
      <rgbColor rgb="FF993366"/>
      <rgbColor rgb="FFF6E7C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DDB7"/>
      <rgbColor rgb="FFEDE3CF"/>
      <rgbColor rgb="FF99CCFF"/>
      <rgbColor rgb="FFFF99CC"/>
      <rgbColor rgb="FFCC99FF"/>
      <rgbColor rgb="FFE9B5AC"/>
      <rgbColor rgb="FF3366FF"/>
      <rgbColor rgb="FF33CCCC"/>
      <rgbColor rgb="FF99CC00"/>
      <rgbColor rgb="FFF3B62E"/>
      <rgbColor rgb="FFFF9900"/>
      <rgbColor rgb="FFFF6600"/>
      <rgbColor rgb="FF666699"/>
      <rgbColor rgb="FF969696"/>
      <rgbColor rgb="FF003366"/>
      <rgbColor rgb="FF339966"/>
      <rgbColor rgb="FF003300"/>
      <rgbColor rgb="FF1F141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90" customWidth="1" style="20" min="2" max="2"/>
  </cols>
  <sheetData>
    <row r="1" ht="19.7" customHeight="1" s="21">
      <c r="A1" s="22" t="inlineStr">
        <is>
          <t>Ezay testa5dem el sheet</t>
        </is>
      </c>
    </row>
    <row r="2" ht="15" customHeight="1" s="21">
      <c r="A2" s="23" t="n"/>
    </row>
    <row r="3" ht="26.85" customHeight="1" s="21">
      <c r="A3" s="24" t="inlineStr">
        <is>
          <t>El 3amayed el fat7a</t>
        </is>
      </c>
      <c r="B3" s="25" t="inlineStr">
        <is>
          <t>El 3onwan, Franco, El no3, El sana, El mostawa, El genre, El batal/batala, Esm sha5seya, Efeh mashhoora, Status. Dool elly te3addel fehom.</t>
        </is>
      </c>
    </row>
    <row r="4" ht="26.85" customHeight="1" s="21">
      <c r="A4" s="26" t="inlineStr">
        <is>
          <t>El 3amayed el ghame2a</t>
        </is>
      </c>
      <c r="B4" s="25" t="inlineStr">
        <is>
          <t>#, El zaman, Awel 7arf, Kalemat: formulas. Bettetghayar lewa7daha lamma te3addel el 3onwan aw el sana — matketbsh fehom.</t>
        </is>
      </c>
    </row>
    <row r="5" ht="26.85" customHeight="1" s="21">
      <c r="A5" s="23" t="inlineStr">
        <is>
          <t>El zaman</t>
        </is>
      </c>
      <c r="B5" s="25" t="inlineStr">
        <is>
          <t>Abyad w eswed = abl 1970 · 70s-90s = 1970–1999 · 2000s = 2000–2014 · Gedeed = 2015 w ba3d.</t>
        </is>
      </c>
    </row>
    <row r="6" ht="15" customHeight="1" s="21">
      <c r="A6" s="23" t="inlineStr">
        <is>
          <t>Awel 7arf</t>
        </is>
      </c>
      <c r="B6" s="25" t="inlineStr">
        <is>
          <t>Awel 7arf men el 3onwan men gher "ال" (masalan الكيف → ك).</t>
        </is>
      </c>
    </row>
    <row r="7" ht="26.85" customHeight="1" s="21">
      <c r="A7" s="23" t="inlineStr">
        <is>
          <t>Status</t>
        </is>
      </c>
      <c r="B7" s="25" t="inlineStr">
        <is>
          <t>Draft = ana katabto men zakerty · Rage3ha = mesh mota2aked men 7aga (sana, batal, no3) · Tamam = enta ra2a3to · Shilo = mesh 3ayzo fel le3ba.</t>
        </is>
      </c>
    </row>
    <row r="8" ht="26.85" customHeight="1" s="21">
      <c r="A8" s="23" t="inlineStr">
        <is>
          <t>Mosa3dat fadya</t>
        </is>
      </c>
      <c r="B8" s="25" t="inlineStr">
        <is>
          <t>Esm sha5seya w efeh mashhoora fadyeen fe ktir — el app hatkhabby el mosa3da di lel 3onwan da bas. Zawwed elly te3rafo.</t>
        </is>
      </c>
    </row>
    <row r="9" ht="26.85" customHeight="1" s="21">
      <c r="A9" s="23" t="inlineStr">
        <is>
          <t>Zawwed 3onwan</t>
        </is>
      </c>
      <c r="B9" s="25" t="inlineStr">
        <is>
          <t>Ekteb fe awel saf fadi ta7t akher 3onwan: el formulas fe El zaman / Awel 7arf / Kalemat ensa5ha men el saf elly fo2.</t>
        </is>
      </c>
    </row>
    <row r="10" ht="26.85" customHeight="1" s="21">
      <c r="A10" s="23" t="inlineStr">
        <is>
          <t>Masdar</t>
        </is>
      </c>
      <c r="B10" s="25" t="inlineStr">
        <is>
          <t>Kol el bayanat draft men zakerty, mesh men masdar rasmy. Lazem ter2a3 el sana w el abtal abl ma ndakhal el list fel app.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544"/>
  <sheetViews>
    <sheetView showFormulas="0" showGridLines="1" showRowColHeaders="1" showZeros="1" rightToLeft="0" tabSelected="1" showOutlineSymbols="1" defaultGridColor="1" view="normal" topLeftCell="A1" colorId="64" zoomScale="110" zoomScaleNormal="11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0" min="1" max="1"/>
    <col width="30" customWidth="1" style="20" min="2" max="2"/>
    <col width="34" customWidth="1" style="20" min="3" max="3"/>
    <col width="12" customWidth="1" style="20" min="4" max="4"/>
    <col width="8" customWidth="1" style="20" min="5" max="5"/>
    <col width="14" customWidth="1" style="20" min="6" max="6"/>
    <col width="11" customWidth="1" style="20" min="7" max="7"/>
    <col width="12" customWidth="1" style="20" min="8" max="8"/>
    <col width="22" customWidth="1" style="20" min="9" max="10"/>
    <col width="36" customWidth="1" style="20" min="11" max="11"/>
    <col width="10" customWidth="1" style="20" min="12" max="12"/>
    <col width="9" customWidth="1" style="20" min="13" max="13"/>
    <col width="11" customWidth="1" style="20" min="14" max="14"/>
  </cols>
  <sheetData>
    <row r="1" ht="30" customHeight="1" s="21">
      <c r="A1" s="27" t="inlineStr">
        <is>
          <t>#</t>
        </is>
      </c>
      <c r="B1" s="27" t="inlineStr">
        <is>
          <t>El 3onwan</t>
        </is>
      </c>
      <c r="C1" s="27" t="inlineStr">
        <is>
          <t>Franco (lel ba7th)</t>
        </is>
      </c>
      <c r="D1" s="27" t="inlineStr">
        <is>
          <t>El no3</t>
        </is>
      </c>
      <c r="E1" s="27" t="inlineStr">
        <is>
          <t>El sana</t>
        </is>
      </c>
      <c r="F1" s="27" t="inlineStr">
        <is>
          <t>El zaman</t>
        </is>
      </c>
      <c r="G1" s="27" t="inlineStr">
        <is>
          <t>El mostawa</t>
        </is>
      </c>
      <c r="H1" s="27" t="inlineStr">
        <is>
          <t>El genre</t>
        </is>
      </c>
      <c r="I1" s="27" t="inlineStr">
        <is>
          <t>El batal / batala</t>
        </is>
      </c>
      <c r="J1" s="27" t="inlineStr">
        <is>
          <t>Esm sha5seya</t>
        </is>
      </c>
      <c r="K1" s="27" t="inlineStr">
        <is>
          <t>Efeh mashhoora</t>
        </is>
      </c>
      <c r="L1" s="27" t="inlineStr">
        <is>
          <t>Awel 7arf</t>
        </is>
      </c>
      <c r="M1" s="27" t="inlineStr">
        <is>
          <t>Kalemat</t>
        </is>
      </c>
      <c r="N1" s="27" t="inlineStr">
        <is>
          <t>Status</t>
        </is>
      </c>
    </row>
    <row r="2" ht="15" customHeight="1" s="21">
      <c r="A2" s="28" t="n">
        <v>1</v>
      </c>
      <c r="B2" s="29" t="inlineStr">
        <is>
          <t>سلامة في خير</t>
        </is>
      </c>
      <c r="C2" s="30" t="inlineStr">
        <is>
          <t>Salama fi Kheir</t>
        </is>
      </c>
      <c r="D2" s="31" t="inlineStr">
        <is>
          <t>Film</t>
        </is>
      </c>
      <c r="E2" s="31" t="n">
        <v>1937</v>
      </c>
      <c r="F2" s="28">
        <f>IF(E2="","",IF(E2&lt;1970,"Abyad w eswed",IF(E2&lt;2000,"70s-90s",IF(E2&lt;2015,"2000s","Gedeed"))))</f>
        <v/>
      </c>
      <c r="G2" s="31" t="inlineStr">
        <is>
          <t>Sa3b</t>
        </is>
      </c>
      <c r="H2" s="30" t="inlineStr">
        <is>
          <t>Comedy</t>
        </is>
      </c>
      <c r="I2" s="32" t="inlineStr">
        <is>
          <t>نجيب الريحاني</t>
        </is>
      </c>
      <c r="J2" s="32" t="inlineStr">
        <is>
          <t>سلامة</t>
        </is>
      </c>
      <c r="K2" s="32" t="n"/>
      <c r="L2" s="33">
        <f>IF(B2="","",IF(LEFT(TRIM(B2),2)="ال",MID(TRIM(B2),3,1),LEFT(TRIM(B2),1)))</f>
        <v/>
      </c>
      <c r="M2" s="28">
        <f>IF(B2="","",LEN(TRIM(B2))-LEN(SUBSTITUTE(TRIM(B2)," ",""))+1)</f>
        <v/>
      </c>
      <c r="N2" s="31" t="inlineStr">
        <is>
          <t>Draft</t>
        </is>
      </c>
    </row>
    <row r="3" ht="15" customHeight="1" s="21">
      <c r="A3" s="28" t="n">
        <v>2</v>
      </c>
      <c r="B3" s="29" t="inlineStr">
        <is>
          <t>لعبة الست</t>
        </is>
      </c>
      <c r="C3" s="30" t="inlineStr">
        <is>
          <t>Le3bet El Set</t>
        </is>
      </c>
      <c r="D3" s="31" t="inlineStr">
        <is>
          <t>Film</t>
        </is>
      </c>
      <c r="E3" s="31" t="n">
        <v>1946</v>
      </c>
      <c r="F3" s="28">
        <f>IF(E3="","",IF(E3&lt;1970,"Abyad w eswed",IF(E3&lt;2000,"70s-90s",IF(E3&lt;2015,"2000s","Gedeed"))))</f>
        <v/>
      </c>
      <c r="G3" s="31" t="inlineStr">
        <is>
          <t>Sa3b</t>
        </is>
      </c>
      <c r="H3" s="30" t="inlineStr">
        <is>
          <t>Comedy</t>
        </is>
      </c>
      <c r="I3" s="32" t="inlineStr">
        <is>
          <t>نجيب الريحاني</t>
        </is>
      </c>
      <c r="J3" s="32" t="n"/>
      <c r="K3" s="32" t="n"/>
      <c r="L3" s="33">
        <f>IF(B3="","",IF(LEFT(TRIM(B3),2)="ال",MID(TRIM(B3),3,1),LEFT(TRIM(B3),1)))</f>
        <v/>
      </c>
      <c r="M3" s="28">
        <f>IF(B3="","",LEN(TRIM(B3))-LEN(SUBSTITUTE(TRIM(B3)," ",""))+1)</f>
        <v/>
      </c>
      <c r="N3" s="31" t="inlineStr">
        <is>
          <t>Draft</t>
        </is>
      </c>
    </row>
    <row r="4" ht="15" customHeight="1" s="21">
      <c r="A4" s="28" t="n">
        <v>3</v>
      </c>
      <c r="B4" s="29" t="inlineStr">
        <is>
          <t>عفريتة هانم</t>
        </is>
      </c>
      <c r="C4" s="30" t="inlineStr">
        <is>
          <t>3afreeta Hanem</t>
        </is>
      </c>
      <c r="D4" s="31" t="inlineStr">
        <is>
          <t>Film</t>
        </is>
      </c>
      <c r="E4" s="31" t="n">
        <v>1949</v>
      </c>
      <c r="F4" s="28">
        <f>IF(E4="","",IF(E4&lt;1970,"Abyad w eswed",IF(E4&lt;2000,"70s-90s",IF(E4&lt;2015,"2000s","Gedeed"))))</f>
        <v/>
      </c>
      <c r="G4" s="31" t="inlineStr">
        <is>
          <t>Sa3b</t>
        </is>
      </c>
      <c r="H4" s="30" t="inlineStr">
        <is>
          <t>Musical</t>
        </is>
      </c>
      <c r="I4" s="32" t="inlineStr">
        <is>
          <t>فريد الأطرش</t>
        </is>
      </c>
      <c r="J4" s="32" t="n"/>
      <c r="K4" s="32" t="n"/>
      <c r="L4" s="33">
        <f>IF(B4="","",IF(LEFT(TRIM(B4),2)="ال",MID(TRIM(B4),3,1),LEFT(TRIM(B4),1)))</f>
        <v/>
      </c>
      <c r="M4" s="28">
        <f>IF(B4="","",LEN(TRIM(B4))-LEN(SUBSTITUTE(TRIM(B4)," ",""))+1)</f>
        <v/>
      </c>
      <c r="N4" s="31" t="inlineStr">
        <is>
          <t>Rage3ha</t>
        </is>
      </c>
    </row>
    <row r="5" ht="15" customHeight="1" s="21">
      <c r="A5" s="28" t="n">
        <v>4</v>
      </c>
      <c r="B5" s="29" t="inlineStr">
        <is>
          <t>غزل البنات</t>
        </is>
      </c>
      <c r="C5" s="30" t="inlineStr">
        <is>
          <t>Ghazal El Banat</t>
        </is>
      </c>
      <c r="D5" s="31" t="inlineStr">
        <is>
          <t>Film</t>
        </is>
      </c>
      <c r="E5" s="31" t="n">
        <v>1949</v>
      </c>
      <c r="F5" s="28">
        <f>IF(E5="","",IF(E5&lt;1970,"Abyad w eswed",IF(E5&lt;2000,"70s-90s",IF(E5&lt;2015,"2000s","Gedeed"))))</f>
        <v/>
      </c>
      <c r="G5" s="31" t="inlineStr">
        <is>
          <t>Wasat</t>
        </is>
      </c>
      <c r="H5" s="30" t="inlineStr">
        <is>
          <t>Comedy</t>
        </is>
      </c>
      <c r="I5" s="32" t="inlineStr">
        <is>
          <t>نجيب الريحاني</t>
        </is>
      </c>
      <c r="J5" s="32" t="inlineStr">
        <is>
          <t>الأستاذ حمام</t>
        </is>
      </c>
      <c r="K5" s="32" t="n"/>
      <c r="L5" s="33">
        <f>IF(B5="","",IF(LEFT(TRIM(B5),2)="ال",MID(TRIM(B5),3,1),LEFT(TRIM(B5),1)))</f>
        <v/>
      </c>
      <c r="M5" s="28">
        <f>IF(B5="","",LEN(TRIM(B5))-LEN(SUBSTITUTE(TRIM(B5)," ",""))+1)</f>
        <v/>
      </c>
      <c r="N5" s="31" t="inlineStr">
        <is>
          <t>Draft</t>
        </is>
      </c>
    </row>
    <row r="6" ht="15" customHeight="1" s="21">
      <c r="A6" s="28" t="n">
        <v>5</v>
      </c>
      <c r="B6" s="29" t="inlineStr">
        <is>
          <t>الآنسة حنفي</t>
        </is>
      </c>
      <c r="C6" s="30" t="inlineStr">
        <is>
          <t>El Anesa 7anafi</t>
        </is>
      </c>
      <c r="D6" s="31" t="inlineStr">
        <is>
          <t>Film</t>
        </is>
      </c>
      <c r="E6" s="31" t="n">
        <v>1954</v>
      </c>
      <c r="F6" s="28">
        <f>IF(E6="","",IF(E6&lt;1970,"Abyad w eswed",IF(E6&lt;2000,"70s-90s",IF(E6&lt;2015,"2000s","Gedeed"))))</f>
        <v/>
      </c>
      <c r="G6" s="31" t="inlineStr">
        <is>
          <t>Wasat</t>
        </is>
      </c>
      <c r="H6" s="30" t="inlineStr">
        <is>
          <t>Comedy</t>
        </is>
      </c>
      <c r="I6" s="32" t="inlineStr">
        <is>
          <t>إسماعيل يس</t>
        </is>
      </c>
      <c r="J6" s="32" t="inlineStr">
        <is>
          <t>حنفي</t>
        </is>
      </c>
      <c r="K6" s="32" t="n"/>
      <c r="L6" s="33">
        <f>IF(B6="","",IF(LEFT(TRIM(B6),2)="ال",MID(TRIM(B6),3,1),LEFT(TRIM(B6),1)))</f>
        <v/>
      </c>
      <c r="M6" s="28">
        <f>IF(B6="","",LEN(TRIM(B6))-LEN(SUBSTITUTE(TRIM(B6)," ",""))+1)</f>
        <v/>
      </c>
      <c r="N6" s="31" t="inlineStr">
        <is>
          <t>Draft</t>
        </is>
      </c>
    </row>
    <row r="7" ht="15" customHeight="1" s="21">
      <c r="A7" s="28" t="n">
        <v>6</v>
      </c>
      <c r="B7" s="29" t="inlineStr">
        <is>
          <t>صراع في الوادي</t>
        </is>
      </c>
      <c r="C7" s="30" t="inlineStr">
        <is>
          <t>Sera3 fel Wadi</t>
        </is>
      </c>
      <c r="D7" s="31" t="inlineStr">
        <is>
          <t>Film</t>
        </is>
      </c>
      <c r="E7" s="31" t="n">
        <v>1954</v>
      </c>
      <c r="F7" s="28">
        <f>IF(E7="","",IF(E7&lt;1970,"Abyad w eswed",IF(E7&lt;2000,"70s-90s",IF(E7&lt;2015,"2000s","Gedeed"))))</f>
        <v/>
      </c>
      <c r="G7" s="31" t="inlineStr">
        <is>
          <t>Sa3b</t>
        </is>
      </c>
      <c r="H7" s="30" t="inlineStr">
        <is>
          <t>Drama</t>
        </is>
      </c>
      <c r="I7" s="32" t="inlineStr">
        <is>
          <t>فاتن حمامة</t>
        </is>
      </c>
      <c r="J7" s="32" t="n"/>
      <c r="K7" s="32" t="n"/>
      <c r="L7" s="33">
        <f>IF(B7="","",IF(LEFT(TRIM(B7),2)="ال",MID(TRIM(B7),3,1),LEFT(TRIM(B7),1)))</f>
        <v/>
      </c>
      <c r="M7" s="28">
        <f>IF(B7="","",LEN(TRIM(B7))-LEN(SUBSTITUTE(TRIM(B7)," ",""))+1)</f>
        <v/>
      </c>
      <c r="N7" s="31" t="inlineStr">
        <is>
          <t>Draft</t>
        </is>
      </c>
    </row>
    <row r="8" ht="15" customHeight="1" s="21">
      <c r="A8" s="28" t="n">
        <v>7</v>
      </c>
      <c r="B8" s="29" t="inlineStr">
        <is>
          <t>إسماعيل يس في الجيش</t>
        </is>
      </c>
      <c r="C8" s="30" t="inlineStr">
        <is>
          <t>Ismail Yassin fel Geish</t>
        </is>
      </c>
      <c r="D8" s="31" t="inlineStr">
        <is>
          <t>Film</t>
        </is>
      </c>
      <c r="E8" s="31" t="n">
        <v>1955</v>
      </c>
      <c r="F8" s="28">
        <f>IF(E8="","",IF(E8&lt;1970,"Abyad w eswed",IF(E8&lt;2000,"70s-90s",IF(E8&lt;2015,"2000s","Gedeed"))))</f>
        <v/>
      </c>
      <c r="G8" s="31" t="inlineStr">
        <is>
          <t>Sahl</t>
        </is>
      </c>
      <c r="H8" s="30" t="inlineStr">
        <is>
          <t>Comedy</t>
        </is>
      </c>
      <c r="I8" s="32" t="inlineStr">
        <is>
          <t>إسماعيل يس</t>
        </is>
      </c>
      <c r="J8" s="32" t="n"/>
      <c r="K8" s="32" t="n"/>
      <c r="L8" s="33">
        <f>IF(B8="","",IF(LEFT(TRIM(B8),2)="ال",MID(TRIM(B8),3,1),LEFT(TRIM(B8),1)))</f>
        <v/>
      </c>
      <c r="M8" s="28">
        <f>IF(B8="","",LEN(TRIM(B8))-LEN(SUBSTITUTE(TRIM(B8)," ",""))+1)</f>
        <v/>
      </c>
      <c r="N8" s="31" t="inlineStr">
        <is>
          <t>Draft</t>
        </is>
      </c>
    </row>
    <row r="9" ht="15" customHeight="1" s="21">
      <c r="A9" s="28" t="n">
        <v>8</v>
      </c>
      <c r="B9" s="29" t="inlineStr">
        <is>
          <t>ابن حميدو</t>
        </is>
      </c>
      <c r="C9" s="30" t="inlineStr">
        <is>
          <t>Ibn 7amido</t>
        </is>
      </c>
      <c r="D9" s="31" t="inlineStr">
        <is>
          <t>Film</t>
        </is>
      </c>
      <c r="E9" s="31" t="n">
        <v>1957</v>
      </c>
      <c r="F9" s="28">
        <f>IF(E9="","",IF(E9&lt;1970,"Abyad w eswed",IF(E9&lt;2000,"70s-90s",IF(E9&lt;2015,"2000s","Gedeed"))))</f>
        <v/>
      </c>
      <c r="G9" s="31" t="inlineStr">
        <is>
          <t>Wasat</t>
        </is>
      </c>
      <c r="H9" s="30" t="inlineStr">
        <is>
          <t>Comedy</t>
        </is>
      </c>
      <c r="I9" s="32" t="inlineStr">
        <is>
          <t>إسماعيل يس</t>
        </is>
      </c>
      <c r="J9" s="32" t="inlineStr">
        <is>
          <t>المعلم حنفي</t>
        </is>
      </c>
      <c r="K9" s="32" t="inlineStr">
        <is>
          <t>هتنزل المرة دي</t>
        </is>
      </c>
      <c r="L9" s="33">
        <f>IF(B9="","",IF(LEFT(TRIM(B9),2)="ال",MID(TRIM(B9),3,1),LEFT(TRIM(B9),1)))</f>
        <v/>
      </c>
      <c r="M9" s="28">
        <f>IF(B9="","",LEN(TRIM(B9))-LEN(SUBSTITUTE(TRIM(B9)," ",""))+1)</f>
        <v/>
      </c>
      <c r="N9" s="31" t="inlineStr">
        <is>
          <t>Draft</t>
        </is>
      </c>
    </row>
    <row r="10" ht="15" customHeight="1" s="21">
      <c r="A10" s="28" t="n">
        <v>9</v>
      </c>
      <c r="B10" s="29" t="inlineStr">
        <is>
          <t>الفتوة</t>
        </is>
      </c>
      <c r="C10" s="30" t="inlineStr">
        <is>
          <t>El Fetewa</t>
        </is>
      </c>
      <c r="D10" s="31" t="inlineStr">
        <is>
          <t>Film</t>
        </is>
      </c>
      <c r="E10" s="31" t="n">
        <v>1957</v>
      </c>
      <c r="F10" s="28">
        <f>IF(E10="","",IF(E10&lt;1970,"Abyad w eswed",IF(E10&lt;2000,"70s-90s",IF(E10&lt;2015,"2000s","Gedeed"))))</f>
        <v/>
      </c>
      <c r="G10" s="31" t="inlineStr">
        <is>
          <t>Sa3b</t>
        </is>
      </c>
      <c r="H10" s="30" t="inlineStr">
        <is>
          <t>Drama</t>
        </is>
      </c>
      <c r="I10" s="32" t="inlineStr">
        <is>
          <t>فريد شوقي</t>
        </is>
      </c>
      <c r="J10" s="32" t="inlineStr">
        <is>
          <t>هريدي</t>
        </is>
      </c>
      <c r="K10" s="32" t="n"/>
      <c r="L10" s="33">
        <f>IF(B10="","",IF(LEFT(TRIM(B10),2)="ال",MID(TRIM(B10),3,1),LEFT(TRIM(B10),1)))</f>
        <v/>
      </c>
      <c r="M10" s="28">
        <f>IF(B10="","",LEN(TRIM(B10))-LEN(SUBSTITUTE(TRIM(B10)," ",""))+1)</f>
        <v/>
      </c>
      <c r="N10" s="31" t="inlineStr">
        <is>
          <t>Draft</t>
        </is>
      </c>
    </row>
    <row r="11" ht="15" customHeight="1" s="21">
      <c r="A11" s="28" t="n">
        <v>10</v>
      </c>
      <c r="B11" s="29" t="inlineStr">
        <is>
          <t>الوسادة الخالية</t>
        </is>
      </c>
      <c r="C11" s="30" t="inlineStr">
        <is>
          <t>El Wesada El Khalia</t>
        </is>
      </c>
      <c r="D11" s="31" t="inlineStr">
        <is>
          <t>Film</t>
        </is>
      </c>
      <c r="E11" s="31" t="n">
        <v>1957</v>
      </c>
      <c r="F11" s="28">
        <f>IF(E11="","",IF(E11&lt;1970,"Abyad w eswed",IF(E11&lt;2000,"70s-90s",IF(E11&lt;2015,"2000s","Gedeed"))))</f>
        <v/>
      </c>
      <c r="G11" s="31" t="inlineStr">
        <is>
          <t>Wasat</t>
        </is>
      </c>
      <c r="H11" s="30" t="inlineStr">
        <is>
          <t>Romance</t>
        </is>
      </c>
      <c r="I11" s="32" t="inlineStr">
        <is>
          <t>عبد الحليم حافظ</t>
        </is>
      </c>
      <c r="J11" s="32" t="inlineStr">
        <is>
          <t>صلاح</t>
        </is>
      </c>
      <c r="K11" s="32" t="n"/>
      <c r="L11" s="33">
        <f>IF(B11="","",IF(LEFT(TRIM(B11),2)="ال",MID(TRIM(B11),3,1),LEFT(TRIM(B11),1)))</f>
        <v/>
      </c>
      <c r="M11" s="28">
        <f>IF(B11="","",LEN(TRIM(B11))-LEN(SUBSTITUTE(TRIM(B11)," ",""))+1)</f>
        <v/>
      </c>
      <c r="N11" s="31" t="inlineStr">
        <is>
          <t>Draft</t>
        </is>
      </c>
    </row>
    <row r="12" ht="15" customHeight="1" s="21">
      <c r="A12" s="28" t="n">
        <v>11</v>
      </c>
      <c r="B12" s="29" t="inlineStr">
        <is>
          <t>رد قلبي</t>
        </is>
      </c>
      <c r="C12" s="30" t="inlineStr">
        <is>
          <t>Rodda 2albi</t>
        </is>
      </c>
      <c r="D12" s="31" t="inlineStr">
        <is>
          <t>Film</t>
        </is>
      </c>
      <c r="E12" s="31" t="n">
        <v>1957</v>
      </c>
      <c r="F12" s="28">
        <f>IF(E12="","",IF(E12&lt;1970,"Abyad w eswed",IF(E12&lt;2000,"70s-90s",IF(E12&lt;2015,"2000s","Gedeed"))))</f>
        <v/>
      </c>
      <c r="G12" s="31" t="inlineStr">
        <is>
          <t>Wasat</t>
        </is>
      </c>
      <c r="H12" s="30" t="inlineStr">
        <is>
          <t>Romance</t>
        </is>
      </c>
      <c r="I12" s="32" t="inlineStr">
        <is>
          <t>شكري سرحان</t>
        </is>
      </c>
      <c r="J12" s="32" t="inlineStr">
        <is>
          <t>إنجي</t>
        </is>
      </c>
      <c r="K12" s="32" t="n"/>
      <c r="L12" s="33">
        <f>IF(B12="","",IF(LEFT(TRIM(B12),2)="ال",MID(TRIM(B12),3,1),LEFT(TRIM(B12),1)))</f>
        <v/>
      </c>
      <c r="M12" s="28">
        <f>IF(B12="","",LEN(TRIM(B12))-LEN(SUBSTITUTE(TRIM(B12)," ",""))+1)</f>
        <v/>
      </c>
      <c r="N12" s="31" t="inlineStr">
        <is>
          <t>Draft</t>
        </is>
      </c>
    </row>
    <row r="13" ht="15" customHeight="1" s="21">
      <c r="A13" s="28" t="n">
        <v>12</v>
      </c>
      <c r="B13" s="29" t="inlineStr">
        <is>
          <t>باب الحديد</t>
        </is>
      </c>
      <c r="C13" s="30" t="inlineStr">
        <is>
          <t>Bab El 7adid</t>
        </is>
      </c>
      <c r="D13" s="31" t="inlineStr">
        <is>
          <t>Film</t>
        </is>
      </c>
      <c r="E13" s="31" t="n">
        <v>1958</v>
      </c>
      <c r="F13" s="28">
        <f>IF(E13="","",IF(E13&lt;1970,"Abyad w eswed",IF(E13&lt;2000,"70s-90s",IF(E13&lt;2015,"2000s","Gedeed"))))</f>
        <v/>
      </c>
      <c r="G13" s="31" t="inlineStr">
        <is>
          <t>Sa3b</t>
        </is>
      </c>
      <c r="H13" s="30" t="inlineStr">
        <is>
          <t>Drama</t>
        </is>
      </c>
      <c r="I13" s="32" t="inlineStr">
        <is>
          <t>يوسف شاهين</t>
        </is>
      </c>
      <c r="J13" s="32" t="inlineStr">
        <is>
          <t>قناوي</t>
        </is>
      </c>
      <c r="K13" s="32" t="n"/>
      <c r="L13" s="33">
        <f>IF(B13="","",IF(LEFT(TRIM(B13),2)="ال",MID(TRIM(B13),3,1),LEFT(TRIM(B13),1)))</f>
        <v/>
      </c>
      <c r="M13" s="28">
        <f>IF(B13="","",LEN(TRIM(B13))-LEN(SUBSTITUTE(TRIM(B13)," ",""))+1)</f>
        <v/>
      </c>
      <c r="N13" s="31" t="inlineStr">
        <is>
          <t>Draft</t>
        </is>
      </c>
    </row>
    <row r="14" ht="15" customHeight="1" s="21">
      <c r="A14" s="28" t="n">
        <v>13</v>
      </c>
      <c r="B14" s="29" t="inlineStr">
        <is>
          <t>حكاية حب</t>
        </is>
      </c>
      <c r="C14" s="30" t="inlineStr">
        <is>
          <t>7ekayet 7ob</t>
        </is>
      </c>
      <c r="D14" s="31" t="inlineStr">
        <is>
          <t>Film</t>
        </is>
      </c>
      <c r="E14" s="31" t="n">
        <v>1959</v>
      </c>
      <c r="F14" s="28">
        <f>IF(E14="","",IF(E14&lt;1970,"Abyad w eswed",IF(E14&lt;2000,"70s-90s",IF(E14&lt;2015,"2000s","Gedeed"))))</f>
        <v/>
      </c>
      <c r="G14" s="31" t="inlineStr">
        <is>
          <t>Sa3b</t>
        </is>
      </c>
      <c r="H14" s="30" t="inlineStr">
        <is>
          <t>Romance</t>
        </is>
      </c>
      <c r="I14" s="32" t="inlineStr">
        <is>
          <t>عبد الحليم حافظ</t>
        </is>
      </c>
      <c r="J14" s="32" t="n"/>
      <c r="K14" s="32" t="n"/>
      <c r="L14" s="33">
        <f>IF(B14="","",IF(LEFT(TRIM(B14),2)="ال",MID(TRIM(B14),3,1),LEFT(TRIM(B14),1)))</f>
        <v/>
      </c>
      <c r="M14" s="28">
        <f>IF(B14="","",LEN(TRIM(B14))-LEN(SUBSTITUTE(TRIM(B14)," ",""))+1)</f>
        <v/>
      </c>
      <c r="N14" s="31" t="inlineStr">
        <is>
          <t>Rage3ha</t>
        </is>
      </c>
    </row>
    <row r="15" ht="15" customHeight="1" s="21">
      <c r="A15" s="28" t="n">
        <v>14</v>
      </c>
      <c r="B15" s="29" t="inlineStr">
        <is>
          <t>دعاء الكروان</t>
        </is>
      </c>
      <c r="C15" s="30" t="inlineStr">
        <is>
          <t>Do3a2 El Karawan</t>
        </is>
      </c>
      <c r="D15" s="31" t="inlineStr">
        <is>
          <t>Film</t>
        </is>
      </c>
      <c r="E15" s="31" t="n">
        <v>1959</v>
      </c>
      <c r="F15" s="28">
        <f>IF(E15="","",IF(E15&lt;1970,"Abyad w eswed",IF(E15&lt;2000,"70s-90s",IF(E15&lt;2015,"2000s","Gedeed"))))</f>
        <v/>
      </c>
      <c r="G15" s="31" t="inlineStr">
        <is>
          <t>Sa3b</t>
        </is>
      </c>
      <c r="H15" s="30" t="inlineStr">
        <is>
          <t>Drama</t>
        </is>
      </c>
      <c r="I15" s="32" t="inlineStr">
        <is>
          <t>فاتن حمامة</t>
        </is>
      </c>
      <c r="J15" s="32" t="inlineStr">
        <is>
          <t>آمنة</t>
        </is>
      </c>
      <c r="K15" s="32" t="n"/>
      <c r="L15" s="33">
        <f>IF(B15="","",IF(LEFT(TRIM(B15),2)="ال",MID(TRIM(B15),3,1),LEFT(TRIM(B15),1)))</f>
        <v/>
      </c>
      <c r="M15" s="28">
        <f>IF(B15="","",LEN(TRIM(B15))-LEN(SUBSTITUTE(TRIM(B15)," ",""))+1)</f>
        <v/>
      </c>
      <c r="N15" s="31" t="inlineStr">
        <is>
          <t>Draft</t>
        </is>
      </c>
    </row>
    <row r="16" ht="15" customHeight="1" s="21">
      <c r="A16" s="28" t="n">
        <v>15</v>
      </c>
      <c r="B16" s="29" t="inlineStr">
        <is>
          <t>إشاعة حب</t>
        </is>
      </c>
      <c r="C16" s="30" t="inlineStr">
        <is>
          <t>Esha3et 7ob</t>
        </is>
      </c>
      <c r="D16" s="31" t="inlineStr">
        <is>
          <t>Film</t>
        </is>
      </c>
      <c r="E16" s="31" t="n">
        <v>1960</v>
      </c>
      <c r="F16" s="28">
        <f>IF(E16="","",IF(E16&lt;1970,"Abyad w eswed",IF(E16&lt;2000,"70s-90s",IF(E16&lt;2015,"2000s","Gedeed"))))</f>
        <v/>
      </c>
      <c r="G16" s="31" t="inlineStr">
        <is>
          <t>Wasat</t>
        </is>
      </c>
      <c r="H16" s="30" t="inlineStr">
        <is>
          <t>Comedy</t>
        </is>
      </c>
      <c r="I16" s="32" t="inlineStr">
        <is>
          <t>عمر الشريف</t>
        </is>
      </c>
      <c r="J16" s="32" t="n"/>
      <c r="K16" s="32" t="n"/>
      <c r="L16" s="33">
        <f>IF(B16="","",IF(LEFT(TRIM(B16),2)="ال",MID(TRIM(B16),3,1),LEFT(TRIM(B16),1)))</f>
        <v/>
      </c>
      <c r="M16" s="28">
        <f>IF(B16="","",LEN(TRIM(B16))-LEN(SUBSTITUTE(TRIM(B16)," ",""))+1)</f>
        <v/>
      </c>
      <c r="N16" s="31" t="inlineStr">
        <is>
          <t>Draft</t>
        </is>
      </c>
    </row>
    <row r="17" ht="15" customHeight="1" s="21">
      <c r="A17" s="28" t="n">
        <v>16</v>
      </c>
      <c r="B17" s="29" t="inlineStr">
        <is>
          <t>بداية ونهاية</t>
        </is>
      </c>
      <c r="C17" s="30" t="inlineStr">
        <is>
          <t>Bedaya w Nehaya</t>
        </is>
      </c>
      <c r="D17" s="31" t="inlineStr">
        <is>
          <t>Film</t>
        </is>
      </c>
      <c r="E17" s="31" t="n">
        <v>1960</v>
      </c>
      <c r="F17" s="28">
        <f>IF(E17="","",IF(E17&lt;1970,"Abyad w eswed",IF(E17&lt;2000,"70s-90s",IF(E17&lt;2015,"2000s","Gedeed"))))</f>
        <v/>
      </c>
      <c r="G17" s="31" t="inlineStr">
        <is>
          <t>Sa3b</t>
        </is>
      </c>
      <c r="H17" s="30" t="inlineStr">
        <is>
          <t>Drama</t>
        </is>
      </c>
      <c r="I17" s="32" t="inlineStr">
        <is>
          <t>عمر الشريف</t>
        </is>
      </c>
      <c r="J17" s="32" t="inlineStr">
        <is>
          <t>نفيسة</t>
        </is>
      </c>
      <c r="K17" s="32" t="n"/>
      <c r="L17" s="33">
        <f>IF(B17="","",IF(LEFT(TRIM(B17),2)="ال",MID(TRIM(B17),3,1),LEFT(TRIM(B17),1)))</f>
        <v/>
      </c>
      <c r="M17" s="28">
        <f>IF(B17="","",LEN(TRIM(B17))-LEN(SUBSTITUTE(TRIM(B17)," ",""))+1)</f>
        <v/>
      </c>
      <c r="N17" s="31" t="inlineStr">
        <is>
          <t>Draft</t>
        </is>
      </c>
    </row>
    <row r="18" ht="15" customHeight="1" s="21">
      <c r="A18" s="28" t="n">
        <v>17</v>
      </c>
      <c r="B18" s="29" t="inlineStr">
        <is>
          <t>سكر هانم</t>
        </is>
      </c>
      <c r="C18" s="30" t="inlineStr">
        <is>
          <t>Sokkar Hanem</t>
        </is>
      </c>
      <c r="D18" s="31" t="inlineStr">
        <is>
          <t>Film</t>
        </is>
      </c>
      <c r="E18" s="31" t="n">
        <v>1960</v>
      </c>
      <c r="F18" s="28">
        <f>IF(E18="","",IF(E18&lt;1970,"Abyad w eswed",IF(E18&lt;2000,"70s-90s",IF(E18&lt;2015,"2000s","Gedeed"))))</f>
        <v/>
      </c>
      <c r="G18" s="31" t="inlineStr">
        <is>
          <t>Wasat</t>
        </is>
      </c>
      <c r="H18" s="30" t="inlineStr">
        <is>
          <t>Comedy</t>
        </is>
      </c>
      <c r="I18" s="32" t="inlineStr">
        <is>
          <t>كمال الشناوي</t>
        </is>
      </c>
      <c r="J18" s="32" t="inlineStr">
        <is>
          <t>سكر هانم</t>
        </is>
      </c>
      <c r="K18" s="32" t="n"/>
      <c r="L18" s="33">
        <f>IF(B18="","",IF(LEFT(TRIM(B18),2)="ال",MID(TRIM(B18),3,1),LEFT(TRIM(B18),1)))</f>
        <v/>
      </c>
      <c r="M18" s="28">
        <f>IF(B18="","",LEN(TRIM(B18))-LEN(SUBSTITUTE(TRIM(B18)," ",""))+1)</f>
        <v/>
      </c>
      <c r="N18" s="31" t="inlineStr">
        <is>
          <t>Draft</t>
        </is>
      </c>
    </row>
    <row r="19" ht="15" customHeight="1" s="21">
      <c r="A19" s="28" t="n">
        <v>18</v>
      </c>
      <c r="B19" s="29" t="inlineStr">
        <is>
          <t>السفيرة عزيزة</t>
        </is>
      </c>
      <c r="C19" s="30" t="inlineStr">
        <is>
          <t>El Safira 3aziza</t>
        </is>
      </c>
      <c r="D19" s="31" t="inlineStr">
        <is>
          <t>Film</t>
        </is>
      </c>
      <c r="E19" s="31" t="n">
        <v>1961</v>
      </c>
      <c r="F19" s="28">
        <f>IF(E19="","",IF(E19&lt;1970,"Abyad w eswed",IF(E19&lt;2000,"70s-90s",IF(E19&lt;2015,"2000s","Gedeed"))))</f>
        <v/>
      </c>
      <c r="G19" s="31" t="inlineStr">
        <is>
          <t>Wasat</t>
        </is>
      </c>
      <c r="H19" s="30" t="inlineStr">
        <is>
          <t>Comedy</t>
        </is>
      </c>
      <c r="I19" s="32" t="inlineStr">
        <is>
          <t>سعاد حسني</t>
        </is>
      </c>
      <c r="J19" s="32" t="inlineStr">
        <is>
          <t>عزيزة</t>
        </is>
      </c>
      <c r="K19" s="32" t="n"/>
      <c r="L19" s="33">
        <f>IF(B19="","",IF(LEFT(TRIM(B19),2)="ال",MID(TRIM(B19),3,1),LEFT(TRIM(B19),1)))</f>
        <v/>
      </c>
      <c r="M19" s="28">
        <f>IF(B19="","",LEN(TRIM(B19))-LEN(SUBSTITUTE(TRIM(B19)," ",""))+1)</f>
        <v/>
      </c>
      <c r="N19" s="31" t="inlineStr">
        <is>
          <t>Draft</t>
        </is>
      </c>
    </row>
    <row r="20" ht="15" customHeight="1" s="21">
      <c r="A20" s="28" t="n">
        <v>19</v>
      </c>
      <c r="B20" s="29" t="inlineStr">
        <is>
          <t>الخطايا</t>
        </is>
      </c>
      <c r="C20" s="30" t="inlineStr">
        <is>
          <t>El Khataya</t>
        </is>
      </c>
      <c r="D20" s="31" t="inlineStr">
        <is>
          <t>Film</t>
        </is>
      </c>
      <c r="E20" s="31" t="n">
        <v>1962</v>
      </c>
      <c r="F20" s="28">
        <f>IF(E20="","",IF(E20&lt;1970,"Abyad w eswed",IF(E20&lt;2000,"70s-90s",IF(E20&lt;2015,"2000s","Gedeed"))))</f>
        <v/>
      </c>
      <c r="G20" s="31" t="inlineStr">
        <is>
          <t>Sa3b</t>
        </is>
      </c>
      <c r="H20" s="30" t="inlineStr">
        <is>
          <t>Drama</t>
        </is>
      </c>
      <c r="I20" s="32" t="inlineStr">
        <is>
          <t>عبد الحليم حافظ</t>
        </is>
      </c>
      <c r="J20" s="32" t="n"/>
      <c r="K20" s="32" t="n"/>
      <c r="L20" s="33">
        <f>IF(B20="","",IF(LEFT(TRIM(B20),2)="ال",MID(TRIM(B20),3,1),LEFT(TRIM(B20),1)))</f>
        <v/>
      </c>
      <c r="M20" s="28">
        <f>IF(B20="","",LEN(TRIM(B20))-LEN(SUBSTITUTE(TRIM(B20)," ",""))+1)</f>
        <v/>
      </c>
      <c r="N20" s="31" t="inlineStr">
        <is>
          <t>Rage3ha</t>
        </is>
      </c>
    </row>
    <row r="21" ht="15" customHeight="1" s="21">
      <c r="A21" s="28" t="n">
        <v>20</v>
      </c>
      <c r="B21" s="29" t="inlineStr">
        <is>
          <t>الزوجة 13</t>
        </is>
      </c>
      <c r="C21" s="30" t="inlineStr">
        <is>
          <t>El Zoga 13</t>
        </is>
      </c>
      <c r="D21" s="31" t="inlineStr">
        <is>
          <t>Film</t>
        </is>
      </c>
      <c r="E21" s="31" t="n">
        <v>1962</v>
      </c>
      <c r="F21" s="28">
        <f>IF(E21="","",IF(E21&lt;1970,"Abyad w eswed",IF(E21&lt;2000,"70s-90s",IF(E21&lt;2015,"2000s","Gedeed"))))</f>
        <v/>
      </c>
      <c r="G21" s="31" t="inlineStr">
        <is>
          <t>Wasat</t>
        </is>
      </c>
      <c r="H21" s="30" t="inlineStr">
        <is>
          <t>Comedy</t>
        </is>
      </c>
      <c r="I21" s="32" t="inlineStr">
        <is>
          <t>رشدي أباظة</t>
        </is>
      </c>
      <c r="J21" s="32" t="n"/>
      <c r="K21" s="32" t="n"/>
      <c r="L21" s="33">
        <f>IF(B21="","",IF(LEFT(TRIM(B21),2)="ال",MID(TRIM(B21),3,1),LEFT(TRIM(B21),1)))</f>
        <v/>
      </c>
      <c r="M21" s="28">
        <f>IF(B21="","",LEN(TRIM(B21))-LEN(SUBSTITUTE(TRIM(B21)," ",""))+1)</f>
        <v/>
      </c>
      <c r="N21" s="31" t="inlineStr">
        <is>
          <t>Draft</t>
        </is>
      </c>
    </row>
    <row r="22" ht="15" customHeight="1" s="21">
      <c r="A22" s="28" t="n">
        <v>21</v>
      </c>
      <c r="B22" s="29" t="inlineStr">
        <is>
          <t>اللص والكلاب</t>
        </is>
      </c>
      <c r="C22" s="30" t="inlineStr">
        <is>
          <t>El Less wel Kelab</t>
        </is>
      </c>
      <c r="D22" s="31" t="inlineStr">
        <is>
          <t>Film</t>
        </is>
      </c>
      <c r="E22" s="31" t="n">
        <v>1962</v>
      </c>
      <c r="F22" s="28">
        <f>IF(E22="","",IF(E22&lt;1970,"Abyad w eswed",IF(E22&lt;2000,"70s-90s",IF(E22&lt;2015,"2000s","Gedeed"))))</f>
        <v/>
      </c>
      <c r="G22" s="31" t="inlineStr">
        <is>
          <t>Sa3b</t>
        </is>
      </c>
      <c r="H22" s="30" t="inlineStr">
        <is>
          <t>Crime</t>
        </is>
      </c>
      <c r="I22" s="32" t="inlineStr">
        <is>
          <t>شكري سرحان</t>
        </is>
      </c>
      <c r="J22" s="32" t="inlineStr">
        <is>
          <t>سعيد مهران</t>
        </is>
      </c>
      <c r="K22" s="32" t="n"/>
      <c r="L22" s="33">
        <f>IF(B22="","",IF(LEFT(TRIM(B22),2)="ال",MID(TRIM(B22),3,1),LEFT(TRIM(B22),1)))</f>
        <v/>
      </c>
      <c r="M22" s="28">
        <f>IF(B22="","",LEN(TRIM(B22))-LEN(SUBSTITUTE(TRIM(B22)," ",""))+1)</f>
        <v/>
      </c>
      <c r="N22" s="31" t="inlineStr">
        <is>
          <t>Draft</t>
        </is>
      </c>
    </row>
    <row r="23" ht="15" customHeight="1" s="21">
      <c r="A23" s="28" t="n">
        <v>22</v>
      </c>
      <c r="B23" s="29" t="inlineStr">
        <is>
          <t>أم العروسة</t>
        </is>
      </c>
      <c r="C23" s="30" t="inlineStr">
        <is>
          <t>Om El 3arousa</t>
        </is>
      </c>
      <c r="D23" s="31" t="inlineStr">
        <is>
          <t>Film</t>
        </is>
      </c>
      <c r="E23" s="31" t="n">
        <v>1963</v>
      </c>
      <c r="F23" s="28">
        <f>IF(E23="","",IF(E23&lt;1970,"Abyad w eswed",IF(E23&lt;2000,"70s-90s",IF(E23&lt;2015,"2000s","Gedeed"))))</f>
        <v/>
      </c>
      <c r="G23" s="31" t="inlineStr">
        <is>
          <t>Wasat</t>
        </is>
      </c>
      <c r="H23" s="30" t="inlineStr">
        <is>
          <t>Comedy</t>
        </is>
      </c>
      <c r="I23" s="32" t="inlineStr">
        <is>
          <t>عماد حمدي</t>
        </is>
      </c>
      <c r="J23" s="32" t="n"/>
      <c r="K23" s="32" t="n"/>
      <c r="L23" s="33">
        <f>IF(B23="","",IF(LEFT(TRIM(B23),2)="ال",MID(TRIM(B23),3,1),LEFT(TRIM(B23),1)))</f>
        <v/>
      </c>
      <c r="M23" s="28">
        <f>IF(B23="","",LEN(TRIM(B23))-LEN(SUBSTITUTE(TRIM(B23)," ",""))+1)</f>
        <v/>
      </c>
      <c r="N23" s="31" t="inlineStr">
        <is>
          <t>Draft</t>
        </is>
      </c>
    </row>
    <row r="24" ht="15" customHeight="1" s="21">
      <c r="A24" s="28" t="n">
        <v>23</v>
      </c>
      <c r="B24" s="29" t="inlineStr">
        <is>
          <t>الأيدي الناعمة</t>
        </is>
      </c>
      <c r="C24" s="30" t="inlineStr">
        <is>
          <t>El Aydi El Na3ma</t>
        </is>
      </c>
      <c r="D24" s="31" t="inlineStr">
        <is>
          <t>Film</t>
        </is>
      </c>
      <c r="E24" s="31" t="n">
        <v>1963</v>
      </c>
      <c r="F24" s="28">
        <f>IF(E24="","",IF(E24&lt;1970,"Abyad w eswed",IF(E24&lt;2000,"70s-90s",IF(E24&lt;2015,"2000s","Gedeed"))))</f>
        <v/>
      </c>
      <c r="G24" s="31" t="inlineStr">
        <is>
          <t>Sa3b</t>
        </is>
      </c>
      <c r="H24" s="30" t="inlineStr">
        <is>
          <t>Comedy</t>
        </is>
      </c>
      <c r="I24" s="32" t="inlineStr">
        <is>
          <t>أحمد مظهر</t>
        </is>
      </c>
      <c r="J24" s="32" t="n"/>
      <c r="K24" s="32" t="n"/>
      <c r="L24" s="33">
        <f>IF(B24="","",IF(LEFT(TRIM(B24),2)="ال",MID(TRIM(B24),3,1),LEFT(TRIM(B24),1)))</f>
        <v/>
      </c>
      <c r="M24" s="28">
        <f>IF(B24="","",LEN(TRIM(B24))-LEN(SUBSTITUTE(TRIM(B24)," ",""))+1)</f>
        <v/>
      </c>
      <c r="N24" s="31" t="inlineStr">
        <is>
          <t>Rage3ha</t>
        </is>
      </c>
    </row>
    <row r="25" ht="15" customHeight="1" s="21">
      <c r="A25" s="28" t="n">
        <v>24</v>
      </c>
      <c r="B25" s="29" t="inlineStr">
        <is>
          <t>الناصر صلاح الدين</t>
        </is>
      </c>
      <c r="C25" s="30" t="inlineStr">
        <is>
          <t>El Naser Salah El Din</t>
        </is>
      </c>
      <c r="D25" s="31" t="inlineStr">
        <is>
          <t>Film</t>
        </is>
      </c>
      <c r="E25" s="31" t="n">
        <v>1963</v>
      </c>
      <c r="F25" s="28">
        <f>IF(E25="","",IF(E25&lt;1970,"Abyad w eswed",IF(E25&lt;2000,"70s-90s",IF(E25&lt;2015,"2000s","Gedeed"))))</f>
        <v/>
      </c>
      <c r="G25" s="31" t="inlineStr">
        <is>
          <t>Sa3b</t>
        </is>
      </c>
      <c r="H25" s="30" t="inlineStr">
        <is>
          <t>Ta2reekhy</t>
        </is>
      </c>
      <c r="I25" s="32" t="inlineStr">
        <is>
          <t>أحمد مظهر</t>
        </is>
      </c>
      <c r="J25" s="32" t="inlineStr">
        <is>
          <t>صلاح الدين</t>
        </is>
      </c>
      <c r="K25" s="32" t="n"/>
      <c r="L25" s="33">
        <f>IF(B25="","",IF(LEFT(TRIM(B25),2)="ال",MID(TRIM(B25),3,1),LEFT(TRIM(B25),1)))</f>
        <v/>
      </c>
      <c r="M25" s="28">
        <f>IF(B25="","",LEN(TRIM(B25))-LEN(SUBSTITUTE(TRIM(B25)," ",""))+1)</f>
        <v/>
      </c>
      <c r="N25" s="31" t="inlineStr">
        <is>
          <t>Draft</t>
        </is>
      </c>
    </row>
    <row r="26" ht="15" customHeight="1" s="21">
      <c r="A26" s="28" t="n">
        <v>25</v>
      </c>
      <c r="B26" s="29" t="inlineStr">
        <is>
          <t>عائلة زيزي</t>
        </is>
      </c>
      <c r="C26" s="30" t="inlineStr">
        <is>
          <t>3a2elet Zizi</t>
        </is>
      </c>
      <c r="D26" s="31" t="inlineStr">
        <is>
          <t>Film</t>
        </is>
      </c>
      <c r="E26" s="31" t="n">
        <v>1963</v>
      </c>
      <c r="F26" s="28">
        <f>IF(E26="","",IF(E26&lt;1970,"Abyad w eswed",IF(E26&lt;2000,"70s-90s",IF(E26&lt;2015,"2000s","Gedeed"))))</f>
        <v/>
      </c>
      <c r="G26" s="31" t="inlineStr">
        <is>
          <t>Wasat</t>
        </is>
      </c>
      <c r="H26" s="30" t="inlineStr">
        <is>
          <t>Comedy</t>
        </is>
      </c>
      <c r="I26" s="32" t="inlineStr">
        <is>
          <t>فؤاد المهندس</t>
        </is>
      </c>
      <c r="J26" s="32" t="inlineStr">
        <is>
          <t>زيزي</t>
        </is>
      </c>
      <c r="K26" s="32" t="n"/>
      <c r="L26" s="33">
        <f>IF(B26="","",IF(LEFT(TRIM(B26),2)="ال",MID(TRIM(B26),3,1),LEFT(TRIM(B26),1)))</f>
        <v/>
      </c>
      <c r="M26" s="28">
        <f>IF(B26="","",LEN(TRIM(B26))-LEN(SUBSTITUTE(TRIM(B26)," ",""))+1)</f>
        <v/>
      </c>
      <c r="N26" s="31" t="inlineStr">
        <is>
          <t>Draft</t>
        </is>
      </c>
    </row>
    <row r="27" ht="15" customHeight="1" s="21">
      <c r="A27" s="28" t="n">
        <v>26</v>
      </c>
      <c r="B27" s="29" t="inlineStr">
        <is>
          <t>بين القصرين</t>
        </is>
      </c>
      <c r="C27" s="30" t="inlineStr">
        <is>
          <t>Bein El 2asrein</t>
        </is>
      </c>
      <c r="D27" s="31" t="inlineStr">
        <is>
          <t>Film</t>
        </is>
      </c>
      <c r="E27" s="31" t="n">
        <v>1964</v>
      </c>
      <c r="F27" s="28">
        <f>IF(E27="","",IF(E27&lt;1970,"Abyad w eswed",IF(E27&lt;2000,"70s-90s",IF(E27&lt;2015,"2000s","Gedeed"))))</f>
        <v/>
      </c>
      <c r="G27" s="31" t="inlineStr">
        <is>
          <t>Sa3b</t>
        </is>
      </c>
      <c r="H27" s="30" t="inlineStr">
        <is>
          <t>Drama</t>
        </is>
      </c>
      <c r="I27" s="32" t="inlineStr">
        <is>
          <t>يحيى شاهين</t>
        </is>
      </c>
      <c r="J27" s="32" t="inlineStr">
        <is>
          <t>سي السيد</t>
        </is>
      </c>
      <c r="K27" s="32" t="n"/>
      <c r="L27" s="33">
        <f>IF(B27="","",IF(LEFT(TRIM(B27),2)="ال",MID(TRIM(B27),3,1),LEFT(TRIM(B27),1)))</f>
        <v/>
      </c>
      <c r="M27" s="28">
        <f>IF(B27="","",LEN(TRIM(B27))-LEN(SUBSTITUTE(TRIM(B27)," ",""))+1)</f>
        <v/>
      </c>
      <c r="N27" s="31" t="inlineStr">
        <is>
          <t>Draft</t>
        </is>
      </c>
    </row>
    <row r="28" ht="15" customHeight="1" s="21">
      <c r="A28" s="28" t="n">
        <v>27</v>
      </c>
      <c r="B28" s="29" t="inlineStr">
        <is>
          <t>الحرام</t>
        </is>
      </c>
      <c r="C28" s="30" t="inlineStr">
        <is>
          <t>El 7aram</t>
        </is>
      </c>
      <c r="D28" s="31" t="inlineStr">
        <is>
          <t>Film</t>
        </is>
      </c>
      <c r="E28" s="31" t="n">
        <v>1965</v>
      </c>
      <c r="F28" s="28">
        <f>IF(E28="","",IF(E28&lt;1970,"Abyad w eswed",IF(E28&lt;2000,"70s-90s",IF(E28&lt;2015,"2000s","Gedeed"))))</f>
        <v/>
      </c>
      <c r="G28" s="31" t="inlineStr">
        <is>
          <t>Sa3b</t>
        </is>
      </c>
      <c r="H28" s="30" t="inlineStr">
        <is>
          <t>Drama</t>
        </is>
      </c>
      <c r="I28" s="32" t="inlineStr">
        <is>
          <t>فاتن حمامة</t>
        </is>
      </c>
      <c r="J28" s="32" t="inlineStr">
        <is>
          <t>عزيزة</t>
        </is>
      </c>
      <c r="K28" s="32" t="n"/>
      <c r="L28" s="33">
        <f>IF(B28="","",IF(LEFT(TRIM(B28),2)="ال",MID(TRIM(B28),3,1),LEFT(TRIM(B28),1)))</f>
        <v/>
      </c>
      <c r="M28" s="28">
        <f>IF(B28="","",LEN(TRIM(B28))-LEN(SUBSTITUTE(TRIM(B28)," ",""))+1)</f>
        <v/>
      </c>
      <c r="N28" s="31" t="inlineStr">
        <is>
          <t>Draft</t>
        </is>
      </c>
    </row>
    <row r="29" ht="15" customHeight="1" s="21">
      <c r="A29" s="28" t="n">
        <v>28</v>
      </c>
      <c r="B29" s="29" t="inlineStr">
        <is>
          <t>صغيرة على الحب</t>
        </is>
      </c>
      <c r="C29" s="30" t="inlineStr">
        <is>
          <t>Soghayara 3al 7ob</t>
        </is>
      </c>
      <c r="D29" s="31" t="inlineStr">
        <is>
          <t>Film</t>
        </is>
      </c>
      <c r="E29" s="31" t="n">
        <v>1966</v>
      </c>
      <c r="F29" s="28">
        <f>IF(E29="","",IF(E29&lt;1970,"Abyad w eswed",IF(E29&lt;2000,"70s-90s",IF(E29&lt;2015,"2000s","Gedeed"))))</f>
        <v/>
      </c>
      <c r="G29" s="31" t="inlineStr">
        <is>
          <t>Wasat</t>
        </is>
      </c>
      <c r="H29" s="30" t="inlineStr">
        <is>
          <t>Musical</t>
        </is>
      </c>
      <c r="I29" s="32" t="inlineStr">
        <is>
          <t>سعاد حسني</t>
        </is>
      </c>
      <c r="J29" s="32" t="n"/>
      <c r="K29" s="32" t="n"/>
      <c r="L29" s="33">
        <f>IF(B29="","",IF(LEFT(TRIM(B29),2)="ال",MID(TRIM(B29),3,1),LEFT(TRIM(B29),1)))</f>
        <v/>
      </c>
      <c r="M29" s="28">
        <f>IF(B29="","",LEN(TRIM(B29))-LEN(SUBSTITUTE(TRIM(B29)," ",""))+1)</f>
        <v/>
      </c>
      <c r="N29" s="31" t="inlineStr">
        <is>
          <t>Draft</t>
        </is>
      </c>
    </row>
    <row r="30" ht="15" customHeight="1" s="21">
      <c r="A30" s="28" t="n">
        <v>29</v>
      </c>
      <c r="B30" s="29" t="inlineStr">
        <is>
          <t>الزوجة الثانية</t>
        </is>
      </c>
      <c r="C30" s="30" t="inlineStr">
        <is>
          <t>El Zoga El Tanya</t>
        </is>
      </c>
      <c r="D30" s="31" t="inlineStr">
        <is>
          <t>Film</t>
        </is>
      </c>
      <c r="E30" s="31" t="n">
        <v>1967</v>
      </c>
      <c r="F30" s="28">
        <f>IF(E30="","",IF(E30&lt;1970,"Abyad w eswed",IF(E30&lt;2000,"70s-90s",IF(E30&lt;2015,"2000s","Gedeed"))))</f>
        <v/>
      </c>
      <c r="G30" s="31" t="inlineStr">
        <is>
          <t>Wasat</t>
        </is>
      </c>
      <c r="H30" s="30" t="inlineStr">
        <is>
          <t>Comedy</t>
        </is>
      </c>
      <c r="I30" s="32" t="inlineStr">
        <is>
          <t>سعاد حسني</t>
        </is>
      </c>
      <c r="J30" s="32" t="inlineStr">
        <is>
          <t>العمدة عتمان</t>
        </is>
      </c>
      <c r="K30" s="32" t="inlineStr">
        <is>
          <t>الورق ورقنا والدفاتر دفاترنا</t>
        </is>
      </c>
      <c r="L30" s="33">
        <f>IF(B30="","",IF(LEFT(TRIM(B30),2)="ال",MID(TRIM(B30),3,1),LEFT(TRIM(B30),1)))</f>
        <v/>
      </c>
      <c r="M30" s="28">
        <f>IF(B30="","",LEN(TRIM(B30))-LEN(SUBSTITUTE(TRIM(B30)," ",""))+1)</f>
        <v/>
      </c>
      <c r="N30" s="31" t="inlineStr">
        <is>
          <t>Draft</t>
        </is>
      </c>
    </row>
    <row r="31" ht="15" customHeight="1" s="21">
      <c r="A31" s="28" t="n">
        <v>30</v>
      </c>
      <c r="B31" s="29" t="inlineStr">
        <is>
          <t>قصر الشوق</t>
        </is>
      </c>
      <c r="C31" s="30" t="inlineStr">
        <is>
          <t>2asr El Sho2</t>
        </is>
      </c>
      <c r="D31" s="31" t="inlineStr">
        <is>
          <t>Film</t>
        </is>
      </c>
      <c r="E31" s="31" t="n">
        <v>1967</v>
      </c>
      <c r="F31" s="28">
        <f>IF(E31="","",IF(E31&lt;1970,"Abyad w eswed",IF(E31&lt;2000,"70s-90s",IF(E31&lt;2015,"2000s","Gedeed"))))</f>
        <v/>
      </c>
      <c r="G31" s="31" t="inlineStr">
        <is>
          <t>Sa3b</t>
        </is>
      </c>
      <c r="H31" s="30" t="inlineStr">
        <is>
          <t>Drama</t>
        </is>
      </c>
      <c r="I31" s="32" t="inlineStr">
        <is>
          <t>يحيى شاهين</t>
        </is>
      </c>
      <c r="J31" s="32" t="inlineStr">
        <is>
          <t>سي السيد</t>
        </is>
      </c>
      <c r="K31" s="32" t="n"/>
      <c r="L31" s="33">
        <f>IF(B31="","",IF(LEFT(TRIM(B31),2)="ال",MID(TRIM(B31),3,1),LEFT(TRIM(B31),1)))</f>
        <v/>
      </c>
      <c r="M31" s="28">
        <f>IF(B31="","",LEN(TRIM(B31))-LEN(SUBSTITUTE(TRIM(B31)," ",""))+1)</f>
        <v/>
      </c>
      <c r="N31" s="31" t="inlineStr">
        <is>
          <t>Draft</t>
        </is>
      </c>
    </row>
    <row r="32" ht="15" customHeight="1" s="21">
      <c r="A32" s="28" t="n">
        <v>31</v>
      </c>
      <c r="B32" s="29" t="inlineStr">
        <is>
          <t>معبودة الجماهير</t>
        </is>
      </c>
      <c r="C32" s="30" t="inlineStr">
        <is>
          <t>Ma3boudet El Gamaheer</t>
        </is>
      </c>
      <c r="D32" s="31" t="inlineStr">
        <is>
          <t>Film</t>
        </is>
      </c>
      <c r="E32" s="31" t="n">
        <v>1967</v>
      </c>
      <c r="F32" s="28">
        <f>IF(E32="","",IF(E32&lt;1970,"Abyad w eswed",IF(E32&lt;2000,"70s-90s",IF(E32&lt;2015,"2000s","Gedeed"))))</f>
        <v/>
      </c>
      <c r="G32" s="31" t="inlineStr">
        <is>
          <t>Sa3b</t>
        </is>
      </c>
      <c r="H32" s="30" t="inlineStr">
        <is>
          <t>Musical</t>
        </is>
      </c>
      <c r="I32" s="32" t="inlineStr">
        <is>
          <t>عبد الحليم حافظ</t>
        </is>
      </c>
      <c r="J32" s="32" t="n"/>
      <c r="K32" s="32" t="n"/>
      <c r="L32" s="33">
        <f>IF(B32="","",IF(LEFT(TRIM(B32),2)="ال",MID(TRIM(B32),3,1),LEFT(TRIM(B32),1)))</f>
        <v/>
      </c>
      <c r="M32" s="28">
        <f>IF(B32="","",LEN(TRIM(B32))-LEN(SUBSTITUTE(TRIM(B32)," ",""))+1)</f>
        <v/>
      </c>
      <c r="N32" s="31" t="inlineStr">
        <is>
          <t>Draft</t>
        </is>
      </c>
    </row>
    <row r="33" ht="15" customHeight="1" s="21">
      <c r="A33" s="28" t="n">
        <v>32</v>
      </c>
      <c r="B33" s="29" t="inlineStr">
        <is>
          <t>أرض النفاق</t>
        </is>
      </c>
      <c r="C33" s="30" t="inlineStr">
        <is>
          <t>Ard El Nefa2</t>
        </is>
      </c>
      <c r="D33" s="31" t="inlineStr">
        <is>
          <t>Film</t>
        </is>
      </c>
      <c r="E33" s="31" t="n">
        <v>1968</v>
      </c>
      <c r="F33" s="28">
        <f>IF(E33="","",IF(E33&lt;1970,"Abyad w eswed",IF(E33&lt;2000,"70s-90s",IF(E33&lt;2015,"2000s","Gedeed"))))</f>
        <v/>
      </c>
      <c r="G33" s="31" t="inlineStr">
        <is>
          <t>Wasat</t>
        </is>
      </c>
      <c r="H33" s="30" t="inlineStr">
        <is>
          <t>Comedy</t>
        </is>
      </c>
      <c r="I33" s="32" t="inlineStr">
        <is>
          <t>فؤاد المهندس</t>
        </is>
      </c>
      <c r="J33" s="32" t="inlineStr">
        <is>
          <t>مسعود أبو السعد</t>
        </is>
      </c>
      <c r="K33" s="32" t="n"/>
      <c r="L33" s="33">
        <f>IF(B33="","",IF(LEFT(TRIM(B33),2)="ال",MID(TRIM(B33),3,1),LEFT(TRIM(B33),1)))</f>
        <v/>
      </c>
      <c r="M33" s="28">
        <f>IF(B33="","",LEN(TRIM(B33))-LEN(SUBSTITUTE(TRIM(B33)," ",""))+1)</f>
        <v/>
      </c>
      <c r="N33" s="31" t="inlineStr">
        <is>
          <t>Draft</t>
        </is>
      </c>
    </row>
    <row r="34" ht="15" customHeight="1" s="21">
      <c r="A34" s="28" t="n">
        <v>33</v>
      </c>
      <c r="B34" s="29" t="inlineStr">
        <is>
          <t>البوسطجي</t>
        </is>
      </c>
      <c r="C34" s="30" t="inlineStr">
        <is>
          <t>El Bostagy</t>
        </is>
      </c>
      <c r="D34" s="31" t="inlineStr">
        <is>
          <t>Film</t>
        </is>
      </c>
      <c r="E34" s="31" t="n">
        <v>1968</v>
      </c>
      <c r="F34" s="28">
        <f>IF(E34="","",IF(E34&lt;1970,"Abyad w eswed",IF(E34&lt;2000,"70s-90s",IF(E34&lt;2015,"2000s","Gedeed"))))</f>
        <v/>
      </c>
      <c r="G34" s="31" t="inlineStr">
        <is>
          <t>Sa3b</t>
        </is>
      </c>
      <c r="H34" s="30" t="inlineStr">
        <is>
          <t>Drama</t>
        </is>
      </c>
      <c r="I34" s="32" t="inlineStr">
        <is>
          <t>شكري سرحان</t>
        </is>
      </c>
      <c r="J34" s="32" t="n"/>
      <c r="K34" s="32" t="n"/>
      <c r="L34" s="33">
        <f>IF(B34="","",IF(LEFT(TRIM(B34),2)="ال",MID(TRIM(B34),3,1),LEFT(TRIM(B34),1)))</f>
        <v/>
      </c>
      <c r="M34" s="28">
        <f>IF(B34="","",LEN(TRIM(B34))-LEN(SUBSTITUTE(TRIM(B34)," ",""))+1)</f>
        <v/>
      </c>
      <c r="N34" s="31" t="inlineStr">
        <is>
          <t>Draft</t>
        </is>
      </c>
    </row>
    <row r="35" ht="15" customHeight="1" s="21">
      <c r="A35" s="28" t="n">
        <v>34</v>
      </c>
      <c r="B35" s="29" t="inlineStr">
        <is>
          <t>شنبو في المصيدة</t>
        </is>
      </c>
      <c r="C35" s="30" t="inlineStr">
        <is>
          <t>Shanbo fel Masyada</t>
        </is>
      </c>
      <c r="D35" s="31" t="inlineStr">
        <is>
          <t>Film</t>
        </is>
      </c>
      <c r="E35" s="31" t="n">
        <v>1968</v>
      </c>
      <c r="F35" s="28">
        <f>IF(E35="","",IF(E35&lt;1970,"Abyad w eswed",IF(E35&lt;2000,"70s-90s",IF(E35&lt;2015,"2000s","Gedeed"))))</f>
        <v/>
      </c>
      <c r="G35" s="31" t="inlineStr">
        <is>
          <t>Wasat</t>
        </is>
      </c>
      <c r="H35" s="30" t="inlineStr">
        <is>
          <t>Comedy</t>
        </is>
      </c>
      <c r="I35" s="32" t="inlineStr">
        <is>
          <t>فؤاد المهندس</t>
        </is>
      </c>
      <c r="J35" s="32" t="inlineStr">
        <is>
          <t>شنبو</t>
        </is>
      </c>
      <c r="K35" s="32" t="n"/>
      <c r="L35" s="33">
        <f>IF(B35="","",IF(LEFT(TRIM(B35),2)="ال",MID(TRIM(B35),3,1),LEFT(TRIM(B35),1)))</f>
        <v/>
      </c>
      <c r="M35" s="28">
        <f>IF(B35="","",LEN(TRIM(B35))-LEN(SUBSTITUTE(TRIM(B35)," ",""))+1)</f>
        <v/>
      </c>
      <c r="N35" s="31" t="inlineStr">
        <is>
          <t>Draft</t>
        </is>
      </c>
    </row>
    <row r="36" ht="15" customHeight="1" s="21">
      <c r="A36" s="28" t="n">
        <v>35</v>
      </c>
      <c r="B36" s="29" t="inlineStr">
        <is>
          <t>قنديل أم هاشم</t>
        </is>
      </c>
      <c r="C36" s="30" t="inlineStr">
        <is>
          <t>2andeel Om Hashem</t>
        </is>
      </c>
      <c r="D36" s="31" t="inlineStr">
        <is>
          <t>Film</t>
        </is>
      </c>
      <c r="E36" s="31" t="n">
        <v>1968</v>
      </c>
      <c r="F36" s="28">
        <f>IF(E36="","",IF(E36&lt;1970,"Abyad w eswed",IF(E36&lt;2000,"70s-90s",IF(E36&lt;2015,"2000s","Gedeed"))))</f>
        <v/>
      </c>
      <c r="G36" s="31" t="inlineStr">
        <is>
          <t>Sa3b</t>
        </is>
      </c>
      <c r="H36" s="30" t="inlineStr">
        <is>
          <t>Drama</t>
        </is>
      </c>
      <c r="I36" s="32" t="inlineStr">
        <is>
          <t>شكري سرحان</t>
        </is>
      </c>
      <c r="J36" s="32" t="n"/>
      <c r="K36" s="32" t="n"/>
      <c r="L36" s="33">
        <f>IF(B36="","",IF(LEFT(TRIM(B36),2)="ال",MID(TRIM(B36),3,1),LEFT(TRIM(B36),1)))</f>
        <v/>
      </c>
      <c r="M36" s="28">
        <f>IF(B36="","",LEN(TRIM(B36))-LEN(SUBSTITUTE(TRIM(B36)," ",""))+1)</f>
        <v/>
      </c>
      <c r="N36" s="31" t="inlineStr">
        <is>
          <t>Draft</t>
        </is>
      </c>
    </row>
    <row r="37" ht="15" customHeight="1" s="21">
      <c r="A37" s="28" t="n">
        <v>36</v>
      </c>
      <c r="B37" s="29" t="inlineStr">
        <is>
          <t>مطاردة غرامية</t>
        </is>
      </c>
      <c r="C37" s="30" t="inlineStr">
        <is>
          <t>Motarda Gharameya</t>
        </is>
      </c>
      <c r="D37" s="31" t="inlineStr">
        <is>
          <t>Film</t>
        </is>
      </c>
      <c r="E37" s="31" t="n">
        <v>1968</v>
      </c>
      <c r="F37" s="28">
        <f>IF(E37="","",IF(E37&lt;1970,"Abyad w eswed",IF(E37&lt;2000,"70s-90s",IF(E37&lt;2015,"2000s","Gedeed"))))</f>
        <v/>
      </c>
      <c r="G37" s="31" t="inlineStr">
        <is>
          <t>Sa3b</t>
        </is>
      </c>
      <c r="H37" s="30" t="inlineStr">
        <is>
          <t>Comedy</t>
        </is>
      </c>
      <c r="I37" s="32" t="inlineStr">
        <is>
          <t>فؤاد المهندس</t>
        </is>
      </c>
      <c r="J37" s="32" t="n"/>
      <c r="K37" s="32" t="n"/>
      <c r="L37" s="33">
        <f>IF(B37="","",IF(LEFT(TRIM(B37),2)="ال",MID(TRIM(B37),3,1),LEFT(TRIM(B37),1)))</f>
        <v/>
      </c>
      <c r="M37" s="28">
        <f>IF(B37="","",LEN(TRIM(B37))-LEN(SUBSTITUTE(TRIM(B37)," ",""))+1)</f>
        <v/>
      </c>
      <c r="N37" s="31" t="inlineStr">
        <is>
          <t>Draft</t>
        </is>
      </c>
    </row>
    <row r="38" ht="15" customHeight="1" s="21">
      <c r="A38" s="28" t="n">
        <v>37</v>
      </c>
      <c r="B38" s="29" t="inlineStr">
        <is>
          <t>أبي فوق الشجرة</t>
        </is>
      </c>
      <c r="C38" s="30" t="inlineStr">
        <is>
          <t>Abi Fo2 El Shagara</t>
        </is>
      </c>
      <c r="D38" s="31" t="inlineStr">
        <is>
          <t>Film</t>
        </is>
      </c>
      <c r="E38" s="31" t="n">
        <v>1969</v>
      </c>
      <c r="F38" s="28">
        <f>IF(E38="","",IF(E38&lt;1970,"Abyad w eswed",IF(E38&lt;2000,"70s-90s",IF(E38&lt;2015,"2000s","Gedeed"))))</f>
        <v/>
      </c>
      <c r="G38" s="31" t="inlineStr">
        <is>
          <t>Wasat</t>
        </is>
      </c>
      <c r="H38" s="30" t="inlineStr">
        <is>
          <t>Musical</t>
        </is>
      </c>
      <c r="I38" s="32" t="inlineStr">
        <is>
          <t>عبد الحليم حافظ</t>
        </is>
      </c>
      <c r="J38" s="32" t="n"/>
      <c r="K38" s="32" t="n"/>
      <c r="L38" s="33">
        <f>IF(B38="","",IF(LEFT(TRIM(B38),2)="ال",MID(TRIM(B38),3,1),LEFT(TRIM(B38),1)))</f>
        <v/>
      </c>
      <c r="M38" s="28">
        <f>IF(B38="","",LEN(TRIM(B38))-LEN(SUBSTITUTE(TRIM(B38)," ",""))+1)</f>
        <v/>
      </c>
      <c r="N38" s="31" t="inlineStr">
        <is>
          <t>Draft</t>
        </is>
      </c>
    </row>
    <row r="39" ht="15" customHeight="1" s="21">
      <c r="A39" s="28" t="n">
        <v>38</v>
      </c>
      <c r="B39" s="29" t="inlineStr">
        <is>
          <t>شيء من الخوف</t>
        </is>
      </c>
      <c r="C39" s="30" t="inlineStr">
        <is>
          <t>Shei2 Men El Khof</t>
        </is>
      </c>
      <c r="D39" s="31" t="inlineStr">
        <is>
          <t>Film</t>
        </is>
      </c>
      <c r="E39" s="31" t="n">
        <v>1969</v>
      </c>
      <c r="F39" s="28">
        <f>IF(E39="","",IF(E39&lt;1970,"Abyad w eswed",IF(E39&lt;2000,"70s-90s",IF(E39&lt;2015,"2000s","Gedeed"))))</f>
        <v/>
      </c>
      <c r="G39" s="31" t="inlineStr">
        <is>
          <t>Wasat</t>
        </is>
      </c>
      <c r="H39" s="30" t="inlineStr">
        <is>
          <t>Drama</t>
        </is>
      </c>
      <c r="I39" s="32" t="inlineStr">
        <is>
          <t>شادية</t>
        </is>
      </c>
      <c r="J39" s="32" t="inlineStr">
        <is>
          <t>فؤادة</t>
        </is>
      </c>
      <c r="K39" s="32" t="inlineStr">
        <is>
          <t>جواز عتريس من فؤادة باطل</t>
        </is>
      </c>
      <c r="L39" s="33">
        <f>IF(B39="","",IF(LEFT(TRIM(B39),2)="ال",MID(TRIM(B39),3,1),LEFT(TRIM(B39),1)))</f>
        <v/>
      </c>
      <c r="M39" s="28">
        <f>IF(B39="","",LEN(TRIM(B39))-LEN(SUBSTITUTE(TRIM(B39)," ",""))+1)</f>
        <v/>
      </c>
      <c r="N39" s="31" t="inlineStr">
        <is>
          <t>Draft</t>
        </is>
      </c>
    </row>
    <row r="40" ht="15" customHeight="1" s="21">
      <c r="A40" s="28" t="n">
        <v>39</v>
      </c>
      <c r="B40" s="29" t="inlineStr">
        <is>
          <t>نص ساعة جواز</t>
        </is>
      </c>
      <c r="C40" s="30" t="inlineStr">
        <is>
          <t>Nos Sa3a Gawaz</t>
        </is>
      </c>
      <c r="D40" s="31" t="inlineStr">
        <is>
          <t>Film</t>
        </is>
      </c>
      <c r="E40" s="31" t="n">
        <v>1969</v>
      </c>
      <c r="F40" s="28">
        <f>IF(E40="","",IF(E40&lt;1970,"Abyad w eswed",IF(E40&lt;2000,"70s-90s",IF(E40&lt;2015,"2000s","Gedeed"))))</f>
        <v/>
      </c>
      <c r="G40" s="31" t="inlineStr">
        <is>
          <t>Wasat</t>
        </is>
      </c>
      <c r="H40" s="30" t="inlineStr">
        <is>
          <t>Comedy</t>
        </is>
      </c>
      <c r="I40" s="32" t="inlineStr">
        <is>
          <t>رشدي أباظة</t>
        </is>
      </c>
      <c r="J40" s="32" t="n"/>
      <c r="K40" s="32" t="n"/>
      <c r="L40" s="33">
        <f>IF(B40="","",IF(LEFT(TRIM(B40),2)="ال",MID(TRIM(B40),3,1),LEFT(TRIM(B40),1)))</f>
        <v/>
      </c>
      <c r="M40" s="28">
        <f>IF(B40="","",LEN(TRIM(B40))-LEN(SUBSTITUTE(TRIM(B40)," ",""))+1)</f>
        <v/>
      </c>
      <c r="N40" s="31" t="inlineStr">
        <is>
          <t>Draft</t>
        </is>
      </c>
    </row>
    <row r="41" ht="15" customHeight="1" s="21">
      <c r="A41" s="28" t="n">
        <v>40</v>
      </c>
      <c r="B41" s="29" t="inlineStr">
        <is>
          <t>الأرض</t>
        </is>
      </c>
      <c r="C41" s="30" t="inlineStr">
        <is>
          <t>El Ard</t>
        </is>
      </c>
      <c r="D41" s="31" t="inlineStr">
        <is>
          <t>Film</t>
        </is>
      </c>
      <c r="E41" s="31" t="n">
        <v>1970</v>
      </c>
      <c r="F41" s="28">
        <f>IF(E41="","",IF(E41&lt;1970,"Abyad w eswed",IF(E41&lt;2000,"70s-90s",IF(E41&lt;2015,"2000s","Gedeed"))))</f>
        <v/>
      </c>
      <c r="G41" s="31" t="inlineStr">
        <is>
          <t>Sa3b</t>
        </is>
      </c>
      <c r="H41" s="30" t="inlineStr">
        <is>
          <t>Drama</t>
        </is>
      </c>
      <c r="I41" s="32" t="inlineStr">
        <is>
          <t>محمود المليجي</t>
        </is>
      </c>
      <c r="J41" s="32" t="inlineStr">
        <is>
          <t>محمد أبو سويلم</t>
        </is>
      </c>
      <c r="K41" s="32" t="n"/>
      <c r="L41" s="33">
        <f>IF(B41="","",IF(LEFT(TRIM(B41),2)="ال",MID(TRIM(B41),3,1),LEFT(TRIM(B41),1)))</f>
        <v/>
      </c>
      <c r="M41" s="28">
        <f>IF(B41="","",LEN(TRIM(B41))-LEN(SUBSTITUTE(TRIM(B41)," ",""))+1)</f>
        <v/>
      </c>
      <c r="N41" s="31" t="inlineStr">
        <is>
          <t>Draft</t>
        </is>
      </c>
    </row>
    <row r="42" ht="15" customHeight="1" s="21">
      <c r="A42" s="28" t="n">
        <v>41</v>
      </c>
      <c r="B42" s="29" t="inlineStr">
        <is>
          <t>ثرثرة فوق النيل</t>
        </is>
      </c>
      <c r="C42" s="30" t="inlineStr">
        <is>
          <t>Tharthara Fo2 El Nil</t>
        </is>
      </c>
      <c r="D42" s="31" t="inlineStr">
        <is>
          <t>Film</t>
        </is>
      </c>
      <c r="E42" s="31" t="n">
        <v>1971</v>
      </c>
      <c r="F42" s="28">
        <f>IF(E42="","",IF(E42&lt;1970,"Abyad w eswed",IF(E42&lt;2000,"70s-90s",IF(E42&lt;2015,"2000s","Gedeed"))))</f>
        <v/>
      </c>
      <c r="G42" s="31" t="inlineStr">
        <is>
          <t>Sa3b</t>
        </is>
      </c>
      <c r="H42" s="30" t="inlineStr">
        <is>
          <t>Drama</t>
        </is>
      </c>
      <c r="I42" s="32" t="inlineStr">
        <is>
          <t>عماد حمدي</t>
        </is>
      </c>
      <c r="J42" s="32" t="n"/>
      <c r="K42" s="32" t="n"/>
      <c r="L42" s="33">
        <f>IF(B42="","",IF(LEFT(TRIM(B42),2)="ال",MID(TRIM(B42),3,1),LEFT(TRIM(B42),1)))</f>
        <v/>
      </c>
      <c r="M42" s="28">
        <f>IF(B42="","",LEN(TRIM(B42))-LEN(SUBSTITUTE(TRIM(B42)," ",""))+1)</f>
        <v/>
      </c>
      <c r="N42" s="31" t="inlineStr">
        <is>
          <t>Draft</t>
        </is>
      </c>
    </row>
    <row r="43" ht="15" customHeight="1" s="21">
      <c r="A43" s="28" t="n">
        <v>42</v>
      </c>
      <c r="B43" s="29" t="inlineStr">
        <is>
          <t>إمبراطورية ميم</t>
        </is>
      </c>
      <c r="C43" s="30" t="inlineStr">
        <is>
          <t>Embratoreyet Mim</t>
        </is>
      </c>
      <c r="D43" s="31" t="inlineStr">
        <is>
          <t>Film</t>
        </is>
      </c>
      <c r="E43" s="31" t="n">
        <v>1972</v>
      </c>
      <c r="F43" s="28">
        <f>IF(E43="","",IF(E43&lt;1970,"Abyad w eswed",IF(E43&lt;2000,"70s-90s",IF(E43&lt;2015,"2000s","Gedeed"))))</f>
        <v/>
      </c>
      <c r="G43" s="31" t="inlineStr">
        <is>
          <t>Wasat</t>
        </is>
      </c>
      <c r="H43" s="30" t="inlineStr">
        <is>
          <t>Drama</t>
        </is>
      </c>
      <c r="I43" s="32" t="inlineStr">
        <is>
          <t>فاتن حمامة</t>
        </is>
      </c>
      <c r="J43" s="32" t="n"/>
      <c r="K43" s="32" t="n"/>
      <c r="L43" s="33">
        <f>IF(B43="","",IF(LEFT(TRIM(B43),2)="ال",MID(TRIM(B43),3,1),LEFT(TRIM(B43),1)))</f>
        <v/>
      </c>
      <c r="M43" s="28">
        <f>IF(B43="","",LEN(TRIM(B43))-LEN(SUBSTITUTE(TRIM(B43)," ",""))+1)</f>
        <v/>
      </c>
      <c r="N43" s="31" t="inlineStr">
        <is>
          <t>Draft</t>
        </is>
      </c>
    </row>
    <row r="44" ht="15" customHeight="1" s="21">
      <c r="A44" s="28" t="n">
        <v>43</v>
      </c>
      <c r="B44" s="29" t="inlineStr">
        <is>
          <t>خلي بالك من زوزو</t>
        </is>
      </c>
      <c r="C44" s="30" t="inlineStr">
        <is>
          <t>Khally Balak Men Zouzou</t>
        </is>
      </c>
      <c r="D44" s="31" t="inlineStr">
        <is>
          <t>Film</t>
        </is>
      </c>
      <c r="E44" s="31" t="n">
        <v>1972</v>
      </c>
      <c r="F44" s="28">
        <f>IF(E44="","",IF(E44&lt;1970,"Abyad w eswed",IF(E44&lt;2000,"70s-90s",IF(E44&lt;2015,"2000s","Gedeed"))))</f>
        <v/>
      </c>
      <c r="G44" s="31" t="inlineStr">
        <is>
          <t>Sahl</t>
        </is>
      </c>
      <c r="H44" s="30" t="inlineStr">
        <is>
          <t>Musical</t>
        </is>
      </c>
      <c r="I44" s="32" t="inlineStr">
        <is>
          <t>سعاد حسني</t>
        </is>
      </c>
      <c r="J44" s="32" t="inlineStr">
        <is>
          <t>زوزو</t>
        </is>
      </c>
      <c r="K44" s="32" t="n"/>
      <c r="L44" s="33">
        <f>IF(B44="","",IF(LEFT(TRIM(B44),2)="ال",MID(TRIM(B44),3,1),LEFT(TRIM(B44),1)))</f>
        <v/>
      </c>
      <c r="M44" s="28">
        <f>IF(B44="","",LEN(TRIM(B44))-LEN(SUBSTITUTE(TRIM(B44)," ",""))+1)</f>
        <v/>
      </c>
      <c r="N44" s="31" t="inlineStr">
        <is>
          <t>Draft</t>
        </is>
      </c>
    </row>
    <row r="45" ht="15" customHeight="1" s="21">
      <c r="A45" s="28" t="n">
        <v>44</v>
      </c>
      <c r="B45" s="29" t="inlineStr">
        <is>
          <t>السكرية</t>
        </is>
      </c>
      <c r="C45" s="30" t="inlineStr">
        <is>
          <t>El Sokkareya</t>
        </is>
      </c>
      <c r="D45" s="31" t="inlineStr">
        <is>
          <t>Film</t>
        </is>
      </c>
      <c r="E45" s="31" t="n">
        <v>1973</v>
      </c>
      <c r="F45" s="28">
        <f>IF(E45="","",IF(E45&lt;1970,"Abyad w eswed",IF(E45&lt;2000,"70s-90s",IF(E45&lt;2015,"2000s","Gedeed"))))</f>
        <v/>
      </c>
      <c r="G45" s="31" t="inlineStr">
        <is>
          <t>Sa3b</t>
        </is>
      </c>
      <c r="H45" s="30" t="inlineStr">
        <is>
          <t>Drama</t>
        </is>
      </c>
      <c r="I45" s="32" t="inlineStr">
        <is>
          <t>يحيى شاهين</t>
        </is>
      </c>
      <c r="J45" s="32" t="n"/>
      <c r="K45" s="32" t="n"/>
      <c r="L45" s="33">
        <f>IF(B45="","",IF(LEFT(TRIM(B45),2)="ال",MID(TRIM(B45),3,1),LEFT(TRIM(B45),1)))</f>
        <v/>
      </c>
      <c r="M45" s="28">
        <f>IF(B45="","",LEN(TRIM(B45))-LEN(SUBSTITUTE(TRIM(B45)," ",""))+1)</f>
        <v/>
      </c>
      <c r="N45" s="31" t="inlineStr">
        <is>
          <t>Draft</t>
        </is>
      </c>
    </row>
    <row r="46" ht="15" customHeight="1" s="21">
      <c r="A46" s="28" t="n">
        <v>45</v>
      </c>
      <c r="B46" s="29" t="inlineStr">
        <is>
          <t>الحفيد</t>
        </is>
      </c>
      <c r="C46" s="30" t="inlineStr">
        <is>
          <t>El 7afeed</t>
        </is>
      </c>
      <c r="D46" s="31" t="inlineStr">
        <is>
          <t>Film</t>
        </is>
      </c>
      <c r="E46" s="31" t="n">
        <v>1974</v>
      </c>
      <c r="F46" s="28">
        <f>IF(E46="","",IF(E46&lt;1970,"Abyad w eswed",IF(E46&lt;2000,"70s-90s",IF(E46&lt;2015,"2000s","Gedeed"))))</f>
        <v/>
      </c>
      <c r="G46" s="31" t="inlineStr">
        <is>
          <t>Wasat</t>
        </is>
      </c>
      <c r="H46" s="30" t="inlineStr">
        <is>
          <t>Comedy</t>
        </is>
      </c>
      <c r="I46" s="32" t="inlineStr">
        <is>
          <t>عبد المنعم مدبولي</t>
        </is>
      </c>
      <c r="J46" s="32" t="n"/>
      <c r="K46" s="32" t="n"/>
      <c r="L46" s="33">
        <f>IF(B46="","",IF(LEFT(TRIM(B46),2)="ال",MID(TRIM(B46),3,1),LEFT(TRIM(B46),1)))</f>
        <v/>
      </c>
      <c r="M46" s="28">
        <f>IF(B46="","",LEN(TRIM(B46))-LEN(SUBSTITUTE(TRIM(B46)," ",""))+1)</f>
        <v/>
      </c>
      <c r="N46" s="31" t="inlineStr">
        <is>
          <t>Draft</t>
        </is>
      </c>
    </row>
    <row r="47" ht="15" customHeight="1" s="21">
      <c r="A47" s="28" t="n">
        <v>46</v>
      </c>
      <c r="B47" s="29" t="inlineStr">
        <is>
          <t>أريد حلاً</t>
        </is>
      </c>
      <c r="C47" s="30" t="inlineStr">
        <is>
          <t>Oreed 7allan</t>
        </is>
      </c>
      <c r="D47" s="31" t="inlineStr">
        <is>
          <t>Film</t>
        </is>
      </c>
      <c r="E47" s="31" t="n">
        <v>1975</v>
      </c>
      <c r="F47" s="28">
        <f>IF(E47="","",IF(E47&lt;1970,"Abyad w eswed",IF(E47&lt;2000,"70s-90s",IF(E47&lt;2015,"2000s","Gedeed"))))</f>
        <v/>
      </c>
      <c r="G47" s="31" t="inlineStr">
        <is>
          <t>Sa3b</t>
        </is>
      </c>
      <c r="H47" s="30" t="inlineStr">
        <is>
          <t>Drama</t>
        </is>
      </c>
      <c r="I47" s="32" t="inlineStr">
        <is>
          <t>فاتن حمامة</t>
        </is>
      </c>
      <c r="J47" s="32" t="n"/>
      <c r="K47" s="32" t="n"/>
      <c r="L47" s="33">
        <f>IF(B47="","",IF(LEFT(TRIM(B47),2)="ال",MID(TRIM(B47),3,1),LEFT(TRIM(B47),1)))</f>
        <v/>
      </c>
      <c r="M47" s="28">
        <f>IF(B47="","",LEN(TRIM(B47))-LEN(SUBSTITUTE(TRIM(B47)," ",""))+1)</f>
        <v/>
      </c>
      <c r="N47" s="31" t="inlineStr">
        <is>
          <t>Draft</t>
        </is>
      </c>
    </row>
    <row r="48" ht="15" customHeight="1" s="21">
      <c r="A48" s="28" t="n">
        <v>47</v>
      </c>
      <c r="B48" s="29" t="inlineStr">
        <is>
          <t>الكرنك</t>
        </is>
      </c>
      <c r="C48" s="30" t="inlineStr">
        <is>
          <t>El Karnak</t>
        </is>
      </c>
      <c r="D48" s="31" t="inlineStr">
        <is>
          <t>Film</t>
        </is>
      </c>
      <c r="E48" s="31" t="n">
        <v>1975</v>
      </c>
      <c r="F48" s="28">
        <f>IF(E48="","",IF(E48&lt;1970,"Abyad w eswed",IF(E48&lt;2000,"70s-90s",IF(E48&lt;2015,"2000s","Gedeed"))))</f>
        <v/>
      </c>
      <c r="G48" s="31" t="inlineStr">
        <is>
          <t>Sa3b</t>
        </is>
      </c>
      <c r="H48" s="30" t="inlineStr">
        <is>
          <t>Drama</t>
        </is>
      </c>
      <c r="I48" s="32" t="inlineStr">
        <is>
          <t>سعاد حسني</t>
        </is>
      </c>
      <c r="J48" s="32" t="n"/>
      <c r="K48" s="32" t="n"/>
      <c r="L48" s="33">
        <f>IF(B48="","",IF(LEFT(TRIM(B48),2)="ال",MID(TRIM(B48),3,1),LEFT(TRIM(B48),1)))</f>
        <v/>
      </c>
      <c r="M48" s="28">
        <f>IF(B48="","",LEN(TRIM(B48))-LEN(SUBSTITUTE(TRIM(B48)," ",""))+1)</f>
        <v/>
      </c>
      <c r="N48" s="31" t="inlineStr">
        <is>
          <t>Draft</t>
        </is>
      </c>
    </row>
    <row r="49" ht="15" customHeight="1" s="21">
      <c r="A49" s="28" t="n">
        <v>48</v>
      </c>
      <c r="B49" s="29" t="inlineStr">
        <is>
          <t>أفواه وأرانب</t>
        </is>
      </c>
      <c r="C49" s="30" t="inlineStr">
        <is>
          <t>Afwah w Araneb</t>
        </is>
      </c>
      <c r="D49" s="31" t="inlineStr">
        <is>
          <t>Film</t>
        </is>
      </c>
      <c r="E49" s="31" t="n">
        <v>1977</v>
      </c>
      <c r="F49" s="28">
        <f>IF(E49="","",IF(E49&lt;1970,"Abyad w eswed",IF(E49&lt;2000,"70s-90s",IF(E49&lt;2015,"2000s","Gedeed"))))</f>
        <v/>
      </c>
      <c r="G49" s="31" t="inlineStr">
        <is>
          <t>Wasat</t>
        </is>
      </c>
      <c r="H49" s="30" t="inlineStr">
        <is>
          <t>Drama</t>
        </is>
      </c>
      <c r="I49" s="32" t="inlineStr">
        <is>
          <t>فاتن حمامة</t>
        </is>
      </c>
      <c r="J49" s="32" t="inlineStr">
        <is>
          <t>نعمة</t>
        </is>
      </c>
      <c r="K49" s="32" t="n"/>
      <c r="L49" s="33">
        <f>IF(B49="","",IF(LEFT(TRIM(B49),2)="ال",MID(TRIM(B49),3,1),LEFT(TRIM(B49),1)))</f>
        <v/>
      </c>
      <c r="M49" s="28">
        <f>IF(B49="","",LEN(TRIM(B49))-LEN(SUBSTITUTE(TRIM(B49)," ",""))+1)</f>
        <v/>
      </c>
      <c r="N49" s="31" t="inlineStr">
        <is>
          <t>Draft</t>
        </is>
      </c>
    </row>
    <row r="50" ht="15" customHeight="1" s="21">
      <c r="A50" s="28" t="n">
        <v>49</v>
      </c>
      <c r="B50" s="29" t="inlineStr">
        <is>
          <t>السقا مات</t>
        </is>
      </c>
      <c r="C50" s="30" t="inlineStr">
        <is>
          <t>El Sa22a Mat</t>
        </is>
      </c>
      <c r="D50" s="31" t="inlineStr">
        <is>
          <t>Film</t>
        </is>
      </c>
      <c r="E50" s="31" t="n">
        <v>1977</v>
      </c>
      <c r="F50" s="28">
        <f>IF(E50="","",IF(E50&lt;1970,"Abyad w eswed",IF(E50&lt;2000,"70s-90s",IF(E50&lt;2015,"2000s","Gedeed"))))</f>
        <v/>
      </c>
      <c r="G50" s="31" t="inlineStr">
        <is>
          <t>Sa3b</t>
        </is>
      </c>
      <c r="H50" s="30" t="inlineStr">
        <is>
          <t>Drama</t>
        </is>
      </c>
      <c r="I50" s="32" t="inlineStr">
        <is>
          <t>عزت العلايلي</t>
        </is>
      </c>
      <c r="J50" s="32" t="n"/>
      <c r="K50" s="32" t="n"/>
      <c r="L50" s="33">
        <f>IF(B50="","",IF(LEFT(TRIM(B50),2)="ال",MID(TRIM(B50),3,1),LEFT(TRIM(B50),1)))</f>
        <v/>
      </c>
      <c r="M50" s="28">
        <f>IF(B50="","",LEN(TRIM(B50))-LEN(SUBSTITUTE(TRIM(B50)," ",""))+1)</f>
        <v/>
      </c>
      <c r="N50" s="31" t="inlineStr">
        <is>
          <t>Draft</t>
        </is>
      </c>
    </row>
    <row r="51" ht="15" customHeight="1" s="21">
      <c r="A51" s="28" t="n">
        <v>50</v>
      </c>
      <c r="B51" s="29" t="inlineStr">
        <is>
          <t>شفيقة ومتولي</t>
        </is>
      </c>
      <c r="C51" s="30" t="inlineStr">
        <is>
          <t>Shafi2a w Metwally</t>
        </is>
      </c>
      <c r="D51" s="31" t="inlineStr">
        <is>
          <t>Film</t>
        </is>
      </c>
      <c r="E51" s="31" t="n">
        <v>1978</v>
      </c>
      <c r="F51" s="28">
        <f>IF(E51="","",IF(E51&lt;1970,"Abyad w eswed",IF(E51&lt;2000,"70s-90s",IF(E51&lt;2015,"2000s","Gedeed"))))</f>
        <v/>
      </c>
      <c r="G51" s="31" t="inlineStr">
        <is>
          <t>Wasat</t>
        </is>
      </c>
      <c r="H51" s="30" t="inlineStr">
        <is>
          <t>Drama</t>
        </is>
      </c>
      <c r="I51" s="32" t="inlineStr">
        <is>
          <t>سعاد حسني</t>
        </is>
      </c>
      <c r="J51" s="32" t="inlineStr">
        <is>
          <t>شفيقة</t>
        </is>
      </c>
      <c r="K51" s="32" t="n"/>
      <c r="L51" s="33">
        <f>IF(B51="","",IF(LEFT(TRIM(B51),2)="ال",MID(TRIM(B51),3,1),LEFT(TRIM(B51),1)))</f>
        <v/>
      </c>
      <c r="M51" s="28">
        <f>IF(B51="","",LEN(TRIM(B51))-LEN(SUBSTITUTE(TRIM(B51)," ",""))+1)</f>
        <v/>
      </c>
      <c r="N51" s="31" t="inlineStr">
        <is>
          <t>Draft</t>
        </is>
      </c>
    </row>
    <row r="52" ht="15" customHeight="1" s="21">
      <c r="A52" s="28" t="n">
        <v>51</v>
      </c>
      <c r="B52" s="29" t="inlineStr">
        <is>
          <t>إسكندرية ليه</t>
        </is>
      </c>
      <c r="C52" s="30" t="inlineStr">
        <is>
          <t>Eskendereya Leh</t>
        </is>
      </c>
      <c r="D52" s="31" t="inlineStr">
        <is>
          <t>Film</t>
        </is>
      </c>
      <c r="E52" s="31" t="n">
        <v>1979</v>
      </c>
      <c r="F52" s="28">
        <f>IF(E52="","",IF(E52&lt;1970,"Abyad w eswed",IF(E52&lt;2000,"70s-90s",IF(E52&lt;2015,"2000s","Gedeed"))))</f>
        <v/>
      </c>
      <c r="G52" s="31" t="inlineStr">
        <is>
          <t>Sa3b</t>
        </is>
      </c>
      <c r="H52" s="30" t="inlineStr">
        <is>
          <t>Drama</t>
        </is>
      </c>
      <c r="I52" s="32" t="inlineStr">
        <is>
          <t>محسن محيي الدين</t>
        </is>
      </c>
      <c r="J52" s="32" t="n"/>
      <c r="K52" s="32" t="n"/>
      <c r="L52" s="33">
        <f>IF(B52="","",IF(LEFT(TRIM(B52),2)="ال",MID(TRIM(B52),3,1),LEFT(TRIM(B52),1)))</f>
        <v/>
      </c>
      <c r="M52" s="28">
        <f>IF(B52="","",LEN(TRIM(B52))-LEN(SUBSTITUTE(TRIM(B52)," ",""))+1)</f>
        <v/>
      </c>
      <c r="N52" s="31" t="inlineStr">
        <is>
          <t>Draft</t>
        </is>
      </c>
    </row>
    <row r="53" ht="15" customHeight="1" s="21">
      <c r="A53" s="28" t="n">
        <v>52</v>
      </c>
      <c r="B53" s="29" t="inlineStr">
        <is>
          <t>الباطنية</t>
        </is>
      </c>
      <c r="C53" s="30" t="inlineStr">
        <is>
          <t>El Batneya</t>
        </is>
      </c>
      <c r="D53" s="31" t="inlineStr">
        <is>
          <t>Film</t>
        </is>
      </c>
      <c r="E53" s="31" t="n">
        <v>1980</v>
      </c>
      <c r="F53" s="28">
        <f>IF(E53="","",IF(E53&lt;1970,"Abyad w eswed",IF(E53&lt;2000,"70s-90s",IF(E53&lt;2015,"2000s","Gedeed"))))</f>
        <v/>
      </c>
      <c r="G53" s="31" t="inlineStr">
        <is>
          <t>Wasat</t>
        </is>
      </c>
      <c r="H53" s="30" t="inlineStr">
        <is>
          <t>Crime</t>
        </is>
      </c>
      <c r="I53" s="32" t="inlineStr">
        <is>
          <t>نادية الجندي</t>
        </is>
      </c>
      <c r="J53" s="32" t="n"/>
      <c r="K53" s="32" t="n"/>
      <c r="L53" s="33">
        <f>IF(B53="","",IF(LEFT(TRIM(B53),2)="ال",MID(TRIM(B53),3,1),LEFT(TRIM(B53),1)))</f>
        <v/>
      </c>
      <c r="M53" s="28">
        <f>IF(B53="","",LEN(TRIM(B53))-LEN(SUBSTITUTE(TRIM(B53)," ",""))+1)</f>
        <v/>
      </c>
      <c r="N53" s="31" t="inlineStr">
        <is>
          <t>Draft</t>
        </is>
      </c>
    </row>
    <row r="54" ht="15" customHeight="1" s="21">
      <c r="A54" s="28" t="n">
        <v>53</v>
      </c>
      <c r="B54" s="29" t="inlineStr">
        <is>
          <t>المشبوه</t>
        </is>
      </c>
      <c r="C54" s="30" t="inlineStr">
        <is>
          <t>El Mashbouh</t>
        </is>
      </c>
      <c r="D54" s="31" t="inlineStr">
        <is>
          <t>Film</t>
        </is>
      </c>
      <c r="E54" s="31" t="n">
        <v>1981</v>
      </c>
      <c r="F54" s="28">
        <f>IF(E54="","",IF(E54&lt;1970,"Abyad w eswed",IF(E54&lt;2000,"70s-90s",IF(E54&lt;2015,"2000s","Gedeed"))))</f>
        <v/>
      </c>
      <c r="G54" s="31" t="inlineStr">
        <is>
          <t>Wasat</t>
        </is>
      </c>
      <c r="H54" s="30" t="inlineStr">
        <is>
          <t>Crime</t>
        </is>
      </c>
      <c r="I54" s="32" t="inlineStr">
        <is>
          <t>عادل إمام</t>
        </is>
      </c>
      <c r="J54" s="32" t="inlineStr">
        <is>
          <t>ماهر</t>
        </is>
      </c>
      <c r="K54" s="32" t="n"/>
      <c r="L54" s="33">
        <f>IF(B54="","",IF(LEFT(TRIM(B54),2)="ال",MID(TRIM(B54),3,1),LEFT(TRIM(B54),1)))</f>
        <v/>
      </c>
      <c r="M54" s="28">
        <f>IF(B54="","",LEN(TRIM(B54))-LEN(SUBSTITUTE(TRIM(B54)," ",""))+1)</f>
        <v/>
      </c>
      <c r="N54" s="31" t="inlineStr">
        <is>
          <t>Draft</t>
        </is>
      </c>
    </row>
    <row r="55" ht="15" customHeight="1" s="21">
      <c r="A55" s="28" t="n">
        <v>54</v>
      </c>
      <c r="B55" s="29" t="inlineStr">
        <is>
          <t>العار</t>
        </is>
      </c>
      <c r="C55" s="30" t="inlineStr">
        <is>
          <t>El 3ar</t>
        </is>
      </c>
      <c r="D55" s="31" t="inlineStr">
        <is>
          <t>Film</t>
        </is>
      </c>
      <c r="E55" s="31" t="n">
        <v>1982</v>
      </c>
      <c r="F55" s="28">
        <f>IF(E55="","",IF(E55&lt;1970,"Abyad w eswed",IF(E55&lt;2000,"70s-90s",IF(E55&lt;2015,"2000s","Gedeed"))))</f>
        <v/>
      </c>
      <c r="G55" s="31" t="inlineStr">
        <is>
          <t>Wasat</t>
        </is>
      </c>
      <c r="H55" s="30" t="inlineStr">
        <is>
          <t>Drama</t>
        </is>
      </c>
      <c r="I55" s="32" t="inlineStr">
        <is>
          <t>نور الشريف</t>
        </is>
      </c>
      <c r="J55" s="32" t="n"/>
      <c r="K55" s="32" t="n"/>
      <c r="L55" s="33">
        <f>IF(B55="","",IF(LEFT(TRIM(B55),2)="ال",MID(TRIM(B55),3,1),LEFT(TRIM(B55),1)))</f>
        <v/>
      </c>
      <c r="M55" s="28">
        <f>IF(B55="","",LEN(TRIM(B55))-LEN(SUBSTITUTE(TRIM(B55)," ",""))+1)</f>
        <v/>
      </c>
      <c r="N55" s="31" t="inlineStr">
        <is>
          <t>Draft</t>
        </is>
      </c>
    </row>
    <row r="56" ht="15" customHeight="1" s="21">
      <c r="A56" s="28" t="n">
        <v>55</v>
      </c>
      <c r="B56" s="29" t="inlineStr">
        <is>
          <t>سواق الأتوبيس</t>
        </is>
      </c>
      <c r="C56" s="30" t="inlineStr">
        <is>
          <t>Sawa2 El Otobis</t>
        </is>
      </c>
      <c r="D56" s="31" t="inlineStr">
        <is>
          <t>Film</t>
        </is>
      </c>
      <c r="E56" s="31" t="n">
        <v>1982</v>
      </c>
      <c r="F56" s="28">
        <f>IF(E56="","",IF(E56&lt;1970,"Abyad w eswed",IF(E56&lt;2000,"70s-90s",IF(E56&lt;2015,"2000s","Gedeed"))))</f>
        <v/>
      </c>
      <c r="G56" s="31" t="inlineStr">
        <is>
          <t>Sa3b</t>
        </is>
      </c>
      <c r="H56" s="30" t="inlineStr">
        <is>
          <t>Drama</t>
        </is>
      </c>
      <c r="I56" s="32" t="inlineStr">
        <is>
          <t>نور الشريف</t>
        </is>
      </c>
      <c r="J56" s="32" t="inlineStr">
        <is>
          <t>حسن</t>
        </is>
      </c>
      <c r="K56" s="32" t="n"/>
      <c r="L56" s="33">
        <f>IF(B56="","",IF(LEFT(TRIM(B56),2)="ال",MID(TRIM(B56),3,1),LEFT(TRIM(B56),1)))</f>
        <v/>
      </c>
      <c r="M56" s="28">
        <f>IF(B56="","",LEN(TRIM(B56))-LEN(SUBSTITUTE(TRIM(B56)," ",""))+1)</f>
        <v/>
      </c>
      <c r="N56" s="31" t="inlineStr">
        <is>
          <t>Draft</t>
        </is>
      </c>
    </row>
    <row r="57" ht="15" customHeight="1" s="21">
      <c r="A57" s="28" t="n">
        <v>56</v>
      </c>
      <c r="B57" s="29" t="inlineStr">
        <is>
          <t>عصابة حمادة وتوتو</t>
        </is>
      </c>
      <c r="C57" s="30" t="inlineStr">
        <is>
          <t>3esabet 7amada w Toto</t>
        </is>
      </c>
      <c r="D57" s="31" t="inlineStr">
        <is>
          <t>Film</t>
        </is>
      </c>
      <c r="E57" s="31" t="n">
        <v>1982</v>
      </c>
      <c r="F57" s="28">
        <f>IF(E57="","",IF(E57&lt;1970,"Abyad w eswed",IF(E57&lt;2000,"70s-90s",IF(E57&lt;2015,"2000s","Gedeed"))))</f>
        <v/>
      </c>
      <c r="G57" s="31" t="inlineStr">
        <is>
          <t>Wasat</t>
        </is>
      </c>
      <c r="H57" s="30" t="inlineStr">
        <is>
          <t>Comedy</t>
        </is>
      </c>
      <c r="I57" s="32" t="inlineStr">
        <is>
          <t>عادل إمام</t>
        </is>
      </c>
      <c r="J57" s="32" t="inlineStr">
        <is>
          <t>حمادة</t>
        </is>
      </c>
      <c r="K57" s="32" t="n"/>
      <c r="L57" s="33">
        <f>IF(B57="","",IF(LEFT(TRIM(B57),2)="ال",MID(TRIM(B57),3,1),LEFT(TRIM(B57),1)))</f>
        <v/>
      </c>
      <c r="M57" s="28">
        <f>IF(B57="","",LEN(TRIM(B57))-LEN(SUBSTITUTE(TRIM(B57)," ",""))+1)</f>
        <v/>
      </c>
      <c r="N57" s="31" t="inlineStr">
        <is>
          <t>Draft</t>
        </is>
      </c>
    </row>
    <row r="58" ht="15" customHeight="1" s="21">
      <c r="A58" s="28" t="n">
        <v>57</v>
      </c>
      <c r="B58" s="29" t="inlineStr">
        <is>
          <t>على باب الوزير</t>
        </is>
      </c>
      <c r="C58" s="30" t="inlineStr">
        <is>
          <t>3ala Bab El Wazir</t>
        </is>
      </c>
      <c r="D58" s="31" t="inlineStr">
        <is>
          <t>Film</t>
        </is>
      </c>
      <c r="E58" s="31" t="n">
        <v>1982</v>
      </c>
      <c r="F58" s="28">
        <f>IF(E58="","",IF(E58&lt;1970,"Abyad w eswed",IF(E58&lt;2000,"70s-90s",IF(E58&lt;2015,"2000s","Gedeed"))))</f>
        <v/>
      </c>
      <c r="G58" s="31" t="inlineStr">
        <is>
          <t>Wasat</t>
        </is>
      </c>
      <c r="H58" s="30" t="inlineStr">
        <is>
          <t>Comedy</t>
        </is>
      </c>
      <c r="I58" s="32" t="inlineStr">
        <is>
          <t>عادل إمام</t>
        </is>
      </c>
      <c r="J58" s="32" t="n"/>
      <c r="K58" s="32" t="n"/>
      <c r="L58" s="33">
        <f>IF(B58="","",IF(LEFT(TRIM(B58),2)="ال",MID(TRIM(B58),3,1),LEFT(TRIM(B58),1)))</f>
        <v/>
      </c>
      <c r="M58" s="28">
        <f>IF(B58="","",LEN(TRIM(B58))-LEN(SUBSTITUTE(TRIM(B58)," ",""))+1)</f>
        <v/>
      </c>
      <c r="N58" s="31" t="inlineStr">
        <is>
          <t>Draft</t>
        </is>
      </c>
    </row>
    <row r="59" ht="15" customHeight="1" s="21">
      <c r="A59" s="28" t="n">
        <v>58</v>
      </c>
      <c r="B59" s="29" t="inlineStr">
        <is>
          <t>الغول</t>
        </is>
      </c>
      <c r="C59" s="30" t="inlineStr">
        <is>
          <t>El Ghoul</t>
        </is>
      </c>
      <c r="D59" s="31" t="inlineStr">
        <is>
          <t>Film</t>
        </is>
      </c>
      <c r="E59" s="31" t="n">
        <v>1983</v>
      </c>
      <c r="F59" s="28">
        <f>IF(E59="","",IF(E59&lt;1970,"Abyad w eswed",IF(E59&lt;2000,"70s-90s",IF(E59&lt;2015,"2000s","Gedeed"))))</f>
        <v/>
      </c>
      <c r="G59" s="31" t="inlineStr">
        <is>
          <t>Sa3b</t>
        </is>
      </c>
      <c r="H59" s="30" t="inlineStr">
        <is>
          <t>Drama</t>
        </is>
      </c>
      <c r="I59" s="32" t="inlineStr">
        <is>
          <t>عادل إمام</t>
        </is>
      </c>
      <c r="J59" s="32" t="n"/>
      <c r="K59" s="32" t="n"/>
      <c r="L59" s="33">
        <f>IF(B59="","",IF(LEFT(TRIM(B59),2)="ال",MID(TRIM(B59),3,1),LEFT(TRIM(B59),1)))</f>
        <v/>
      </c>
      <c r="M59" s="28">
        <f>IF(B59="","",LEN(TRIM(B59))-LEN(SUBSTITUTE(TRIM(B59)," ",""))+1)</f>
        <v/>
      </c>
      <c r="N59" s="31" t="inlineStr">
        <is>
          <t>Rage3ha</t>
        </is>
      </c>
    </row>
    <row r="60" ht="15" customHeight="1" s="21">
      <c r="A60" s="28" t="n">
        <v>59</v>
      </c>
      <c r="B60" s="29" t="inlineStr">
        <is>
          <t>حب في الزنزانة</t>
        </is>
      </c>
      <c r="C60" s="30" t="inlineStr">
        <is>
          <t>7ob fel Zenzana</t>
        </is>
      </c>
      <c r="D60" s="31" t="inlineStr">
        <is>
          <t>Film</t>
        </is>
      </c>
      <c r="E60" s="31" t="n">
        <v>1983</v>
      </c>
      <c r="F60" s="28">
        <f>IF(E60="","",IF(E60&lt;1970,"Abyad w eswed",IF(E60&lt;2000,"70s-90s",IF(E60&lt;2015,"2000s","Gedeed"))))</f>
        <v/>
      </c>
      <c r="G60" s="31" t="inlineStr">
        <is>
          <t>Wasat</t>
        </is>
      </c>
      <c r="H60" s="30" t="inlineStr">
        <is>
          <t>Drama</t>
        </is>
      </c>
      <c r="I60" s="32" t="inlineStr">
        <is>
          <t>عادل إمام</t>
        </is>
      </c>
      <c r="J60" s="32" t="n"/>
      <c r="K60" s="32" t="n"/>
      <c r="L60" s="33">
        <f>IF(B60="","",IF(LEFT(TRIM(B60),2)="ال",MID(TRIM(B60),3,1),LEFT(TRIM(B60),1)))</f>
        <v/>
      </c>
      <c r="M60" s="28">
        <f>IF(B60="","",LEN(TRIM(B60))-LEN(SUBSTITUTE(TRIM(B60)," ",""))+1)</f>
        <v/>
      </c>
      <c r="N60" s="31" t="inlineStr">
        <is>
          <t>Draft</t>
        </is>
      </c>
    </row>
    <row r="61" ht="15" customHeight="1" s="21">
      <c r="A61" s="28" t="n">
        <v>60</v>
      </c>
      <c r="B61" s="29" t="inlineStr">
        <is>
          <t>آخر الرجال المحترمين</t>
        </is>
      </c>
      <c r="C61" s="30" t="inlineStr">
        <is>
          <t>Akher El Regala El Mo7tarameen</t>
        </is>
      </c>
      <c r="D61" s="31" t="inlineStr">
        <is>
          <t>Film</t>
        </is>
      </c>
      <c r="E61" s="31" t="n">
        <v>1984</v>
      </c>
      <c r="F61" s="28">
        <f>IF(E61="","",IF(E61&lt;1970,"Abyad w eswed",IF(E61&lt;2000,"70s-90s",IF(E61&lt;2015,"2000s","Gedeed"))))</f>
        <v/>
      </c>
      <c r="G61" s="31" t="inlineStr">
        <is>
          <t>Sa3b</t>
        </is>
      </c>
      <c r="H61" s="30" t="inlineStr">
        <is>
          <t>Drama</t>
        </is>
      </c>
      <c r="I61" s="32" t="inlineStr">
        <is>
          <t>نور الشريف</t>
        </is>
      </c>
      <c r="J61" s="32" t="n"/>
      <c r="K61" s="32" t="n"/>
      <c r="L61" s="33">
        <f>IF(B61="","",IF(LEFT(TRIM(B61),2)="ال",MID(TRIM(B61),3,1),LEFT(TRIM(B61),1)))</f>
        <v/>
      </c>
      <c r="M61" s="28">
        <f>IF(B61="","",LEN(TRIM(B61))-LEN(SUBSTITUTE(TRIM(B61)," ",""))+1)</f>
        <v/>
      </c>
      <c r="N61" s="31" t="inlineStr">
        <is>
          <t>Draft</t>
        </is>
      </c>
    </row>
    <row r="62" ht="15" customHeight="1" s="21">
      <c r="A62" s="28" t="n">
        <v>61</v>
      </c>
      <c r="B62" s="29" t="inlineStr">
        <is>
          <t>احترس من الخط</t>
        </is>
      </c>
      <c r="C62" s="30" t="inlineStr">
        <is>
          <t>E7tares Men El Khat</t>
        </is>
      </c>
      <c r="D62" s="31" t="inlineStr">
        <is>
          <t>Film</t>
        </is>
      </c>
      <c r="E62" s="31" t="n">
        <v>1984</v>
      </c>
      <c r="F62" s="28">
        <f>IF(E62="","",IF(E62&lt;1970,"Abyad w eswed",IF(E62&lt;2000,"70s-90s",IF(E62&lt;2015,"2000s","Gedeed"))))</f>
        <v/>
      </c>
      <c r="G62" s="31" t="inlineStr">
        <is>
          <t>Wasat</t>
        </is>
      </c>
      <c r="H62" s="30" t="inlineStr">
        <is>
          <t>Comedy</t>
        </is>
      </c>
      <c r="I62" s="32" t="inlineStr">
        <is>
          <t>عادل إمام</t>
        </is>
      </c>
      <c r="J62" s="32" t="n"/>
      <c r="K62" s="32" t="n"/>
      <c r="L62" s="33">
        <f>IF(B62="","",IF(LEFT(TRIM(B62),2)="ال",MID(TRIM(B62),3,1),LEFT(TRIM(B62),1)))</f>
        <v/>
      </c>
      <c r="M62" s="28">
        <f>IF(B62="","",LEN(TRIM(B62))-LEN(SUBSTITUTE(TRIM(B62)," ",""))+1)</f>
        <v/>
      </c>
      <c r="N62" s="31" t="inlineStr">
        <is>
          <t>Draft</t>
        </is>
      </c>
    </row>
    <row r="63" ht="15" customHeight="1" s="21">
      <c r="A63" s="28" t="n">
        <v>62</v>
      </c>
      <c r="B63" s="29" t="inlineStr">
        <is>
          <t>الأفوكاتو</t>
        </is>
      </c>
      <c r="C63" s="30" t="inlineStr">
        <is>
          <t>El Avocato</t>
        </is>
      </c>
      <c r="D63" s="31" t="inlineStr">
        <is>
          <t>Film</t>
        </is>
      </c>
      <c r="E63" s="31" t="n">
        <v>1984</v>
      </c>
      <c r="F63" s="28">
        <f>IF(E63="","",IF(E63&lt;1970,"Abyad w eswed",IF(E63&lt;2000,"70s-90s",IF(E63&lt;2015,"2000s","Gedeed"))))</f>
        <v/>
      </c>
      <c r="G63" s="31" t="inlineStr">
        <is>
          <t>Sahl</t>
        </is>
      </c>
      <c r="H63" s="30" t="inlineStr">
        <is>
          <t>Comedy</t>
        </is>
      </c>
      <c r="I63" s="32" t="inlineStr">
        <is>
          <t>عادل إمام</t>
        </is>
      </c>
      <c r="J63" s="32" t="inlineStr">
        <is>
          <t>حسن سبانخ</t>
        </is>
      </c>
      <c r="K63" s="32" t="n"/>
      <c r="L63" s="33">
        <f>IF(B63="","",IF(LEFT(TRIM(B63),2)="ال",MID(TRIM(B63),3,1),LEFT(TRIM(B63),1)))</f>
        <v/>
      </c>
      <c r="M63" s="28">
        <f>IF(B63="","",LEN(TRIM(B63))-LEN(SUBSTITUTE(TRIM(B63)," ",""))+1)</f>
        <v/>
      </c>
      <c r="N63" s="31" t="inlineStr">
        <is>
          <t>Draft</t>
        </is>
      </c>
    </row>
    <row r="64" ht="15" customHeight="1" s="21">
      <c r="A64" s="28" t="n">
        <v>63</v>
      </c>
      <c r="B64" s="29" t="inlineStr">
        <is>
          <t>الحريف</t>
        </is>
      </c>
      <c r="C64" s="30" t="inlineStr">
        <is>
          <t>El 7erreef</t>
        </is>
      </c>
      <c r="D64" s="31" t="inlineStr">
        <is>
          <t>Film</t>
        </is>
      </c>
      <c r="E64" s="31" t="n">
        <v>1984</v>
      </c>
      <c r="F64" s="28">
        <f>IF(E64="","",IF(E64&lt;1970,"Abyad w eswed",IF(E64&lt;2000,"70s-90s",IF(E64&lt;2015,"2000s","Gedeed"))))</f>
        <v/>
      </c>
      <c r="G64" s="31" t="inlineStr">
        <is>
          <t>Wasat</t>
        </is>
      </c>
      <c r="H64" s="30" t="inlineStr">
        <is>
          <t>Drama</t>
        </is>
      </c>
      <c r="I64" s="32" t="inlineStr">
        <is>
          <t>عادل إمام</t>
        </is>
      </c>
      <c r="J64" s="32" t="inlineStr">
        <is>
          <t>فارس</t>
        </is>
      </c>
      <c r="K64" s="32" t="n"/>
      <c r="L64" s="33">
        <f>IF(B64="","",IF(LEFT(TRIM(B64),2)="ال",MID(TRIM(B64),3,1),LEFT(TRIM(B64),1)))</f>
        <v/>
      </c>
      <c r="M64" s="28">
        <f>IF(B64="","",LEN(TRIM(B64))-LEN(SUBSTITUTE(TRIM(B64)," ",""))+1)</f>
        <v/>
      </c>
      <c r="N64" s="31" t="inlineStr">
        <is>
          <t>Draft</t>
        </is>
      </c>
    </row>
    <row r="65" ht="15" customHeight="1" s="21">
      <c r="A65" s="28" t="n">
        <v>64</v>
      </c>
      <c r="B65" s="29" t="inlineStr">
        <is>
          <t>الراقصة والطبال</t>
        </is>
      </c>
      <c r="C65" s="30" t="inlineStr">
        <is>
          <t>El Ra2sa wel Tabbal</t>
        </is>
      </c>
      <c r="D65" s="31" t="inlineStr">
        <is>
          <t>Film</t>
        </is>
      </c>
      <c r="E65" s="31" t="n">
        <v>1984</v>
      </c>
      <c r="F65" s="28">
        <f>IF(E65="","",IF(E65&lt;1970,"Abyad w eswed",IF(E65&lt;2000,"70s-90s",IF(E65&lt;2015,"2000s","Gedeed"))))</f>
        <v/>
      </c>
      <c r="G65" s="31" t="inlineStr">
        <is>
          <t>Wasat</t>
        </is>
      </c>
      <c r="H65" s="30" t="inlineStr">
        <is>
          <t>Drama</t>
        </is>
      </c>
      <c r="I65" s="32" t="inlineStr">
        <is>
          <t>نبيلة عبيد</t>
        </is>
      </c>
      <c r="J65" s="32" t="n"/>
      <c r="K65" s="32" t="n"/>
      <c r="L65" s="33">
        <f>IF(B65="","",IF(LEFT(TRIM(B65),2)="ال",MID(TRIM(B65),3,1),LEFT(TRIM(B65),1)))</f>
        <v/>
      </c>
      <c r="M65" s="28">
        <f>IF(B65="","",LEN(TRIM(B65))-LEN(SUBSTITUTE(TRIM(B65)," ",""))+1)</f>
        <v/>
      </c>
      <c r="N65" s="31" t="inlineStr">
        <is>
          <t>Draft</t>
        </is>
      </c>
    </row>
    <row r="66" ht="15" customHeight="1" s="21">
      <c r="A66" s="28" t="n">
        <v>65</v>
      </c>
      <c r="B66" s="29" t="inlineStr">
        <is>
          <t>الإنس والجن</t>
        </is>
      </c>
      <c r="C66" s="30" t="inlineStr">
        <is>
          <t>El Ens wel Gen</t>
        </is>
      </c>
      <c r="D66" s="31" t="inlineStr">
        <is>
          <t>Film</t>
        </is>
      </c>
      <c r="E66" s="31" t="n">
        <v>1985</v>
      </c>
      <c r="F66" s="28">
        <f>IF(E66="","",IF(E66&lt;1970,"Abyad w eswed",IF(E66&lt;2000,"70s-90s",IF(E66&lt;2015,"2000s","Gedeed"))))</f>
        <v/>
      </c>
      <c r="G66" s="31" t="inlineStr">
        <is>
          <t>Wasat</t>
        </is>
      </c>
      <c r="H66" s="30" t="inlineStr">
        <is>
          <t>Horror</t>
        </is>
      </c>
      <c r="I66" s="32" t="inlineStr">
        <is>
          <t>عادل إمام</t>
        </is>
      </c>
      <c r="J66" s="32" t="n"/>
      <c r="K66" s="32" t="n"/>
      <c r="L66" s="33">
        <f>IF(B66="","",IF(LEFT(TRIM(B66),2)="ال",MID(TRIM(B66),3,1),LEFT(TRIM(B66),1)))</f>
        <v/>
      </c>
      <c r="M66" s="28">
        <f>IF(B66="","",LEN(TRIM(B66))-LEN(SUBSTITUTE(TRIM(B66)," ",""))+1)</f>
        <v/>
      </c>
      <c r="N66" s="31" t="inlineStr">
        <is>
          <t>Draft</t>
        </is>
      </c>
    </row>
    <row r="67" ht="15" customHeight="1" s="21">
      <c r="A67" s="28" t="n">
        <v>66</v>
      </c>
      <c r="B67" s="29" t="inlineStr">
        <is>
          <t>الكيف</t>
        </is>
      </c>
      <c r="C67" s="30" t="inlineStr">
        <is>
          <t>El Keif</t>
        </is>
      </c>
      <c r="D67" s="31" t="inlineStr">
        <is>
          <t>Film</t>
        </is>
      </c>
      <c r="E67" s="31" t="n">
        <v>1985</v>
      </c>
      <c r="F67" s="28">
        <f>IF(E67="","",IF(E67&lt;1970,"Abyad w eswed",IF(E67&lt;2000,"70s-90s",IF(E67&lt;2015,"2000s","Gedeed"))))</f>
        <v/>
      </c>
      <c r="G67" s="31" t="inlineStr">
        <is>
          <t>Sahl</t>
        </is>
      </c>
      <c r="H67" s="30" t="inlineStr">
        <is>
          <t>Comedy</t>
        </is>
      </c>
      <c r="I67" s="32" t="inlineStr">
        <is>
          <t>محمود عبد العزيز</t>
        </is>
      </c>
      <c r="J67" s="32" t="inlineStr">
        <is>
          <t>مزاجنجي</t>
        </is>
      </c>
      <c r="K67" s="32" t="n"/>
      <c r="L67" s="33">
        <f>IF(B67="","",IF(LEFT(TRIM(B67),2)="ال",MID(TRIM(B67),3,1),LEFT(TRIM(B67),1)))</f>
        <v/>
      </c>
      <c r="M67" s="28">
        <f>IF(B67="","",LEN(TRIM(B67))-LEN(SUBSTITUTE(TRIM(B67)," ",""))+1)</f>
        <v/>
      </c>
      <c r="N67" s="31" t="inlineStr">
        <is>
          <t>Draft</t>
        </is>
      </c>
    </row>
    <row r="68" ht="15" customHeight="1" s="21">
      <c r="A68" s="28" t="n">
        <v>67</v>
      </c>
      <c r="B68" s="29" t="inlineStr">
        <is>
          <t>الهلفوت</t>
        </is>
      </c>
      <c r="C68" s="30" t="inlineStr">
        <is>
          <t>El Halfout</t>
        </is>
      </c>
      <c r="D68" s="31" t="inlineStr">
        <is>
          <t>Film</t>
        </is>
      </c>
      <c r="E68" s="31" t="n">
        <v>1985</v>
      </c>
      <c r="F68" s="28">
        <f>IF(E68="","",IF(E68&lt;1970,"Abyad w eswed",IF(E68&lt;2000,"70s-90s",IF(E68&lt;2015,"2000s","Gedeed"))))</f>
        <v/>
      </c>
      <c r="G68" s="31" t="inlineStr">
        <is>
          <t>Wasat</t>
        </is>
      </c>
      <c r="H68" s="30" t="inlineStr">
        <is>
          <t>Comedy</t>
        </is>
      </c>
      <c r="I68" s="32" t="inlineStr">
        <is>
          <t>عادل إمام</t>
        </is>
      </c>
      <c r="J68" s="32" t="n"/>
      <c r="K68" s="32" t="n"/>
      <c r="L68" s="33">
        <f>IF(B68="","",IF(LEFT(TRIM(B68),2)="ال",MID(TRIM(B68),3,1),LEFT(TRIM(B68),1)))</f>
        <v/>
      </c>
      <c r="M68" s="28">
        <f>IF(B68="","",LEN(TRIM(B68))-LEN(SUBSTITUTE(TRIM(B68)," ",""))+1)</f>
        <v/>
      </c>
      <c r="N68" s="31" t="inlineStr">
        <is>
          <t>Rage3ha</t>
        </is>
      </c>
    </row>
    <row r="69" ht="15" customHeight="1" s="21">
      <c r="A69" s="28" t="n">
        <v>68</v>
      </c>
      <c r="B69" s="29" t="inlineStr">
        <is>
          <t>رمضان فوق البركان</t>
        </is>
      </c>
      <c r="C69" s="30" t="inlineStr">
        <is>
          <t>Ramadan Fo2 El Borkan</t>
        </is>
      </c>
      <c r="D69" s="31" t="inlineStr">
        <is>
          <t>Film</t>
        </is>
      </c>
      <c r="E69" s="31" t="n">
        <v>1985</v>
      </c>
      <c r="F69" s="28">
        <f>IF(E69="","",IF(E69&lt;1970,"Abyad w eswed",IF(E69&lt;2000,"70s-90s",IF(E69&lt;2015,"2000s","Gedeed"))))</f>
        <v/>
      </c>
      <c r="G69" s="31" t="inlineStr">
        <is>
          <t>Wasat</t>
        </is>
      </c>
      <c r="H69" s="30" t="inlineStr">
        <is>
          <t>Comedy</t>
        </is>
      </c>
      <c r="I69" s="32" t="inlineStr">
        <is>
          <t>عادل إمام</t>
        </is>
      </c>
      <c r="J69" s="32" t="inlineStr">
        <is>
          <t>رمضان</t>
        </is>
      </c>
      <c r="K69" s="32" t="n"/>
      <c r="L69" s="33">
        <f>IF(B69="","",IF(LEFT(TRIM(B69),2)="ال",MID(TRIM(B69),3,1),LEFT(TRIM(B69),1)))</f>
        <v/>
      </c>
      <c r="M69" s="28">
        <f>IF(B69="","",LEN(TRIM(B69))-LEN(SUBSTITUTE(TRIM(B69)," ",""))+1)</f>
        <v/>
      </c>
      <c r="N69" s="31" t="inlineStr">
        <is>
          <t>Draft</t>
        </is>
      </c>
    </row>
    <row r="70" ht="15" customHeight="1" s="21">
      <c r="A70" s="28" t="n">
        <v>69</v>
      </c>
      <c r="B70" s="29" t="inlineStr">
        <is>
          <t>البريء</t>
        </is>
      </c>
      <c r="C70" s="30" t="inlineStr">
        <is>
          <t>El Baree2</t>
        </is>
      </c>
      <c r="D70" s="31" t="inlineStr">
        <is>
          <t>Film</t>
        </is>
      </c>
      <c r="E70" s="31" t="n">
        <v>1986</v>
      </c>
      <c r="F70" s="28">
        <f>IF(E70="","",IF(E70&lt;1970,"Abyad w eswed",IF(E70&lt;2000,"70s-90s",IF(E70&lt;2015,"2000s","Gedeed"))))</f>
        <v/>
      </c>
      <c r="G70" s="31" t="inlineStr">
        <is>
          <t>Wasat</t>
        </is>
      </c>
      <c r="H70" s="30" t="inlineStr">
        <is>
          <t>Drama</t>
        </is>
      </c>
      <c r="I70" s="32" t="inlineStr">
        <is>
          <t>أحمد زكي</t>
        </is>
      </c>
      <c r="J70" s="32" t="inlineStr">
        <is>
          <t>أحمد سبع الليل</t>
        </is>
      </c>
      <c r="K70" s="32" t="n"/>
      <c r="L70" s="33">
        <f>IF(B70="","",IF(LEFT(TRIM(B70),2)="ال",MID(TRIM(B70),3,1),LEFT(TRIM(B70),1)))</f>
        <v/>
      </c>
      <c r="M70" s="28">
        <f>IF(B70="","",LEN(TRIM(B70))-LEN(SUBSTITUTE(TRIM(B70)," ",""))+1)</f>
        <v/>
      </c>
      <c r="N70" s="31" t="inlineStr">
        <is>
          <t>Draft</t>
        </is>
      </c>
    </row>
    <row r="71" ht="15" customHeight="1" s="21">
      <c r="A71" s="28" t="n">
        <v>70</v>
      </c>
      <c r="B71" s="29" t="inlineStr">
        <is>
          <t>الجوع</t>
        </is>
      </c>
      <c r="C71" s="30" t="inlineStr">
        <is>
          <t>El Go3</t>
        </is>
      </c>
      <c r="D71" s="31" t="inlineStr">
        <is>
          <t>Film</t>
        </is>
      </c>
      <c r="E71" s="31" t="n">
        <v>1986</v>
      </c>
      <c r="F71" s="28">
        <f>IF(E71="","",IF(E71&lt;1970,"Abyad w eswed",IF(E71&lt;2000,"70s-90s",IF(E71&lt;2015,"2000s","Gedeed"))))</f>
        <v/>
      </c>
      <c r="G71" s="31" t="inlineStr">
        <is>
          <t>Sa3b</t>
        </is>
      </c>
      <c r="H71" s="30" t="inlineStr">
        <is>
          <t>Drama</t>
        </is>
      </c>
      <c r="I71" s="32" t="inlineStr">
        <is>
          <t>محمود عبد العزيز</t>
        </is>
      </c>
      <c r="J71" s="32" t="n"/>
      <c r="K71" s="32" t="n"/>
      <c r="L71" s="33">
        <f>IF(B71="","",IF(LEFT(TRIM(B71),2)="ال",MID(TRIM(B71),3,1),LEFT(TRIM(B71),1)))</f>
        <v/>
      </c>
      <c r="M71" s="28">
        <f>IF(B71="","",LEN(TRIM(B71))-LEN(SUBSTITUTE(TRIM(B71)," ",""))+1)</f>
        <v/>
      </c>
      <c r="N71" s="31" t="inlineStr">
        <is>
          <t>Draft</t>
        </is>
      </c>
    </row>
    <row r="72" ht="15" customHeight="1" s="21">
      <c r="A72" s="28" t="n">
        <v>71</v>
      </c>
      <c r="B72" s="29" t="inlineStr">
        <is>
          <t>الحب فوق هضبة الهرم</t>
        </is>
      </c>
      <c r="C72" s="30" t="inlineStr">
        <is>
          <t>El 7ob Fo2 Hadabet El Haram</t>
        </is>
      </c>
      <c r="D72" s="31" t="inlineStr">
        <is>
          <t>Film</t>
        </is>
      </c>
      <c r="E72" s="31" t="n">
        <v>1986</v>
      </c>
      <c r="F72" s="28">
        <f>IF(E72="","",IF(E72&lt;1970,"Abyad w eswed",IF(E72&lt;2000,"70s-90s",IF(E72&lt;2015,"2000s","Gedeed"))))</f>
        <v/>
      </c>
      <c r="G72" s="31" t="inlineStr">
        <is>
          <t>Sa3b</t>
        </is>
      </c>
      <c r="H72" s="30" t="inlineStr">
        <is>
          <t>Drama</t>
        </is>
      </c>
      <c r="I72" s="32" t="inlineStr">
        <is>
          <t>أحمد زكي</t>
        </is>
      </c>
      <c r="J72" s="32" t="n"/>
      <c r="K72" s="32" t="n"/>
      <c r="L72" s="33">
        <f>IF(B72="","",IF(LEFT(TRIM(B72),2)="ال",MID(TRIM(B72),3,1),LEFT(TRIM(B72),1)))</f>
        <v/>
      </c>
      <c r="M72" s="28">
        <f>IF(B72="","",LEN(TRIM(B72))-LEN(SUBSTITUTE(TRIM(B72)," ",""))+1)</f>
        <v/>
      </c>
      <c r="N72" s="31" t="inlineStr">
        <is>
          <t>Draft</t>
        </is>
      </c>
    </row>
    <row r="73" ht="15" customHeight="1" s="21">
      <c r="A73" s="28" t="n">
        <v>72</v>
      </c>
      <c r="B73" s="29" t="inlineStr">
        <is>
          <t>كراكون في الشارع</t>
        </is>
      </c>
      <c r="C73" s="30" t="inlineStr">
        <is>
          <t>Karakon fel Share3</t>
        </is>
      </c>
      <c r="D73" s="31" t="inlineStr">
        <is>
          <t>Film</t>
        </is>
      </c>
      <c r="E73" s="31" t="n">
        <v>1986</v>
      </c>
      <c r="F73" s="28">
        <f>IF(E73="","",IF(E73&lt;1970,"Abyad w eswed",IF(E73&lt;2000,"70s-90s",IF(E73&lt;2015,"2000s","Gedeed"))))</f>
        <v/>
      </c>
      <c r="G73" s="31" t="inlineStr">
        <is>
          <t>Wasat</t>
        </is>
      </c>
      <c r="H73" s="30" t="inlineStr">
        <is>
          <t>Comedy</t>
        </is>
      </c>
      <c r="I73" s="32" t="inlineStr">
        <is>
          <t>عادل إمام</t>
        </is>
      </c>
      <c r="J73" s="32" t="n"/>
      <c r="K73" s="32" t="n"/>
      <c r="L73" s="33">
        <f>IF(B73="","",IF(LEFT(TRIM(B73),2)="ال",MID(TRIM(B73),3,1),LEFT(TRIM(B73),1)))</f>
        <v/>
      </c>
      <c r="M73" s="28">
        <f>IF(B73="","",LEN(TRIM(B73))-LEN(SUBSTITUTE(TRIM(B73)," ",""))+1)</f>
        <v/>
      </c>
      <c r="N73" s="31" t="inlineStr">
        <is>
          <t>Draft</t>
        </is>
      </c>
    </row>
    <row r="74" ht="15" customHeight="1" s="21">
      <c r="A74" s="28" t="n">
        <v>73</v>
      </c>
      <c r="B74" s="29" t="inlineStr">
        <is>
          <t>البيه البواب</t>
        </is>
      </c>
      <c r="C74" s="30" t="inlineStr">
        <is>
          <t>El Beih El Bawab</t>
        </is>
      </c>
      <c r="D74" s="31" t="inlineStr">
        <is>
          <t>Film</t>
        </is>
      </c>
      <c r="E74" s="31" t="n">
        <v>1987</v>
      </c>
      <c r="F74" s="28">
        <f>IF(E74="","",IF(E74&lt;1970,"Abyad w eswed",IF(E74&lt;2000,"70s-90s",IF(E74&lt;2015,"2000s","Gedeed"))))</f>
        <v/>
      </c>
      <c r="G74" s="31" t="inlineStr">
        <is>
          <t>Sahl</t>
        </is>
      </c>
      <c r="H74" s="30" t="inlineStr">
        <is>
          <t>Comedy</t>
        </is>
      </c>
      <c r="I74" s="32" t="inlineStr">
        <is>
          <t>أحمد زكي</t>
        </is>
      </c>
      <c r="J74" s="32" t="inlineStr">
        <is>
          <t>عبد السميع</t>
        </is>
      </c>
      <c r="K74" s="32" t="n"/>
      <c r="L74" s="33">
        <f>IF(B74="","",IF(LEFT(TRIM(B74),2)="ال",MID(TRIM(B74),3,1),LEFT(TRIM(B74),1)))</f>
        <v/>
      </c>
      <c r="M74" s="28">
        <f>IF(B74="","",LEN(TRIM(B74))-LEN(SUBSTITUTE(TRIM(B74)," ",""))+1)</f>
        <v/>
      </c>
      <c r="N74" s="31" t="inlineStr">
        <is>
          <t>Draft</t>
        </is>
      </c>
    </row>
    <row r="75" ht="15" customHeight="1" s="21">
      <c r="A75" s="28" t="n">
        <v>74</v>
      </c>
      <c r="B75" s="29" t="inlineStr">
        <is>
          <t>النمر والأنثى</t>
        </is>
      </c>
      <c r="C75" s="30" t="inlineStr">
        <is>
          <t>El Nemr wel Onsa</t>
        </is>
      </c>
      <c r="D75" s="31" t="inlineStr">
        <is>
          <t>Film</t>
        </is>
      </c>
      <c r="E75" s="31" t="n">
        <v>1987</v>
      </c>
      <c r="F75" s="28">
        <f>IF(E75="","",IF(E75&lt;1970,"Abyad w eswed",IF(E75&lt;2000,"70s-90s",IF(E75&lt;2015,"2000s","Gedeed"))))</f>
        <v/>
      </c>
      <c r="G75" s="31" t="inlineStr">
        <is>
          <t>Wasat</t>
        </is>
      </c>
      <c r="H75" s="30" t="inlineStr">
        <is>
          <t>Action</t>
        </is>
      </c>
      <c r="I75" s="32" t="inlineStr">
        <is>
          <t>عادل إمام</t>
        </is>
      </c>
      <c r="J75" s="32" t="n"/>
      <c r="K75" s="32" t="n"/>
      <c r="L75" s="33">
        <f>IF(B75="","",IF(LEFT(TRIM(B75),2)="ال",MID(TRIM(B75),3,1),LEFT(TRIM(B75),1)))</f>
        <v/>
      </c>
      <c r="M75" s="28">
        <f>IF(B75="","",LEN(TRIM(B75))-LEN(SUBSTITUTE(TRIM(B75)," ",""))+1)</f>
        <v/>
      </c>
      <c r="N75" s="31" t="inlineStr">
        <is>
          <t>Draft</t>
        </is>
      </c>
    </row>
    <row r="76" ht="15" customHeight="1" s="21">
      <c r="A76" s="28" t="n">
        <v>75</v>
      </c>
      <c r="B76" s="29" t="inlineStr">
        <is>
          <t>زوجة رجل مهم</t>
        </is>
      </c>
      <c r="C76" s="30" t="inlineStr">
        <is>
          <t>Zogat Ragel Mohem</t>
        </is>
      </c>
      <c r="D76" s="31" t="inlineStr">
        <is>
          <t>Film</t>
        </is>
      </c>
      <c r="E76" s="31" t="n">
        <v>1987</v>
      </c>
      <c r="F76" s="28">
        <f>IF(E76="","",IF(E76&lt;1970,"Abyad w eswed",IF(E76&lt;2000,"70s-90s",IF(E76&lt;2015,"2000s","Gedeed"))))</f>
        <v/>
      </c>
      <c r="G76" s="31" t="inlineStr">
        <is>
          <t>Sa3b</t>
        </is>
      </c>
      <c r="H76" s="30" t="inlineStr">
        <is>
          <t>Drama</t>
        </is>
      </c>
      <c r="I76" s="32" t="inlineStr">
        <is>
          <t>أحمد زكي</t>
        </is>
      </c>
      <c r="J76" s="32" t="inlineStr">
        <is>
          <t>هشام</t>
        </is>
      </c>
      <c r="K76" s="32" t="n"/>
      <c r="L76" s="33">
        <f>IF(B76="","",IF(LEFT(TRIM(B76),2)="ال",MID(TRIM(B76),3,1),LEFT(TRIM(B76),1)))</f>
        <v/>
      </c>
      <c r="M76" s="28">
        <f>IF(B76="","",LEN(TRIM(B76))-LEN(SUBSTITUTE(TRIM(B76)," ",""))+1)</f>
        <v/>
      </c>
      <c r="N76" s="31" t="inlineStr">
        <is>
          <t>Draft</t>
        </is>
      </c>
    </row>
    <row r="77" ht="15" customHeight="1" s="21">
      <c r="A77" s="28" t="n">
        <v>76</v>
      </c>
      <c r="B77" s="29" t="inlineStr">
        <is>
          <t>سلام يا صاحبي</t>
        </is>
      </c>
      <c r="C77" s="30" t="inlineStr">
        <is>
          <t>Salam Ya Sa7bi</t>
        </is>
      </c>
      <c r="D77" s="31" t="inlineStr">
        <is>
          <t>Film</t>
        </is>
      </c>
      <c r="E77" s="31" t="n">
        <v>1987</v>
      </c>
      <c r="F77" s="28">
        <f>IF(E77="","",IF(E77&lt;1970,"Abyad w eswed",IF(E77&lt;2000,"70s-90s",IF(E77&lt;2015,"2000s","Gedeed"))))</f>
        <v/>
      </c>
      <c r="G77" s="31" t="inlineStr">
        <is>
          <t>Wasat</t>
        </is>
      </c>
      <c r="H77" s="30" t="inlineStr">
        <is>
          <t>Action</t>
        </is>
      </c>
      <c r="I77" s="32" t="inlineStr">
        <is>
          <t>عادل إمام</t>
        </is>
      </c>
      <c r="J77" s="32" t="inlineStr">
        <is>
          <t>مرزوق</t>
        </is>
      </c>
      <c r="K77" s="32" t="n"/>
      <c r="L77" s="33">
        <f>IF(B77="","",IF(LEFT(TRIM(B77),2)="ال",MID(TRIM(B77),3,1),LEFT(TRIM(B77),1)))</f>
        <v/>
      </c>
      <c r="M77" s="28">
        <f>IF(B77="","",LEN(TRIM(B77))-LEN(SUBSTITUTE(TRIM(B77)," ",""))+1)</f>
        <v/>
      </c>
      <c r="N77" s="31" t="inlineStr">
        <is>
          <t>Draft</t>
        </is>
      </c>
    </row>
    <row r="78" ht="15" customHeight="1" s="21">
      <c r="A78" s="28" t="n">
        <v>77</v>
      </c>
      <c r="B78" s="29" t="inlineStr">
        <is>
          <t>أحلام هند وكاميليا</t>
        </is>
      </c>
      <c r="C78" s="30" t="inlineStr">
        <is>
          <t>A7lam Hend w Camelia</t>
        </is>
      </c>
      <c r="D78" s="31" t="inlineStr">
        <is>
          <t>Film</t>
        </is>
      </c>
      <c r="E78" s="31" t="n">
        <v>1988</v>
      </c>
      <c r="F78" s="28">
        <f>IF(E78="","",IF(E78&lt;1970,"Abyad w eswed",IF(E78&lt;2000,"70s-90s",IF(E78&lt;2015,"2000s","Gedeed"))))</f>
        <v/>
      </c>
      <c r="G78" s="31" t="inlineStr">
        <is>
          <t>Sa3b</t>
        </is>
      </c>
      <c r="H78" s="30" t="inlineStr">
        <is>
          <t>Drama</t>
        </is>
      </c>
      <c r="I78" s="32" t="inlineStr">
        <is>
          <t>نجلاء فتحي</t>
        </is>
      </c>
      <c r="J78" s="32" t="n"/>
      <c r="K78" s="32" t="n"/>
      <c r="L78" s="33">
        <f>IF(B78="","",IF(LEFT(TRIM(B78),2)="ال",MID(TRIM(B78),3,1),LEFT(TRIM(B78),1)))</f>
        <v/>
      </c>
      <c r="M78" s="28">
        <f>IF(B78="","",LEN(TRIM(B78))-LEN(SUBSTITUTE(TRIM(B78)," ",""))+1)</f>
        <v/>
      </c>
      <c r="N78" s="31" t="inlineStr">
        <is>
          <t>Draft</t>
        </is>
      </c>
    </row>
    <row r="79" ht="15" customHeight="1" s="21">
      <c r="A79" s="28" t="n">
        <v>78</v>
      </c>
      <c r="B79" s="29" t="inlineStr">
        <is>
          <t>يوم مر ويوم حلو</t>
        </is>
      </c>
      <c r="C79" s="30" t="inlineStr">
        <is>
          <t>Youm Mor w Youm 7elw</t>
        </is>
      </c>
      <c r="D79" s="31" t="inlineStr">
        <is>
          <t>Film</t>
        </is>
      </c>
      <c r="E79" s="31" t="n">
        <v>1988</v>
      </c>
      <c r="F79" s="28">
        <f>IF(E79="","",IF(E79&lt;1970,"Abyad w eswed",IF(E79&lt;2000,"70s-90s",IF(E79&lt;2015,"2000s","Gedeed"))))</f>
        <v/>
      </c>
      <c r="G79" s="31" t="inlineStr">
        <is>
          <t>Sa3b</t>
        </is>
      </c>
      <c r="H79" s="30" t="inlineStr">
        <is>
          <t>Drama</t>
        </is>
      </c>
      <c r="I79" s="32" t="inlineStr">
        <is>
          <t>فاتن حمامة</t>
        </is>
      </c>
      <c r="J79" s="32" t="n"/>
      <c r="K79" s="32" t="n"/>
      <c r="L79" s="33">
        <f>IF(B79="","",IF(LEFT(TRIM(B79),2)="ال",MID(TRIM(B79),3,1),LEFT(TRIM(B79),1)))</f>
        <v/>
      </c>
      <c r="M79" s="28">
        <f>IF(B79="","",LEN(TRIM(B79))-LEN(SUBSTITUTE(TRIM(B79)," ",""))+1)</f>
        <v/>
      </c>
      <c r="N79" s="31" t="inlineStr">
        <is>
          <t>Draft</t>
        </is>
      </c>
    </row>
    <row r="80" ht="15" customHeight="1" s="21">
      <c r="A80" s="28" t="n">
        <v>79</v>
      </c>
      <c r="B80" s="29" t="inlineStr">
        <is>
          <t>البيضة والحجر</t>
        </is>
      </c>
      <c r="C80" s="30" t="inlineStr">
        <is>
          <t>El Beida wel 7agar</t>
        </is>
      </c>
      <c r="D80" s="31" t="inlineStr">
        <is>
          <t>Film</t>
        </is>
      </c>
      <c r="E80" s="31" t="n">
        <v>1990</v>
      </c>
      <c r="F80" s="28">
        <f>IF(E80="","",IF(E80&lt;1970,"Abyad w eswed",IF(E80&lt;2000,"70s-90s",IF(E80&lt;2015,"2000s","Gedeed"))))</f>
        <v/>
      </c>
      <c r="G80" s="31" t="inlineStr">
        <is>
          <t>Wasat</t>
        </is>
      </c>
      <c r="H80" s="30" t="inlineStr">
        <is>
          <t>Comedy</t>
        </is>
      </c>
      <c r="I80" s="32" t="inlineStr">
        <is>
          <t>أحمد زكي</t>
        </is>
      </c>
      <c r="J80" s="32" t="inlineStr">
        <is>
          <t>مستطاع الطوبجي</t>
        </is>
      </c>
      <c r="K80" s="32" t="n"/>
      <c r="L80" s="33">
        <f>IF(B80="","",IF(LEFT(TRIM(B80),2)="ال",MID(TRIM(B80),3,1),LEFT(TRIM(B80),1)))</f>
        <v/>
      </c>
      <c r="M80" s="28">
        <f>IF(B80="","",LEN(TRIM(B80))-LEN(SUBSTITUTE(TRIM(B80)," ",""))+1)</f>
        <v/>
      </c>
      <c r="N80" s="31" t="inlineStr">
        <is>
          <t>Draft</t>
        </is>
      </c>
    </row>
    <row r="81" ht="15" customHeight="1" s="21">
      <c r="A81" s="28" t="n">
        <v>80</v>
      </c>
      <c r="B81" s="29" t="inlineStr">
        <is>
          <t>الراقصة والسياسي</t>
        </is>
      </c>
      <c r="C81" s="30" t="inlineStr">
        <is>
          <t>El Ra2sa wel Seyasy</t>
        </is>
      </c>
      <c r="D81" s="31" t="inlineStr">
        <is>
          <t>Film</t>
        </is>
      </c>
      <c r="E81" s="31" t="n">
        <v>1990</v>
      </c>
      <c r="F81" s="28">
        <f>IF(E81="","",IF(E81&lt;1970,"Abyad w eswed",IF(E81&lt;2000,"70s-90s",IF(E81&lt;2015,"2000s","Gedeed"))))</f>
        <v/>
      </c>
      <c r="G81" s="31" t="inlineStr">
        <is>
          <t>Wasat</t>
        </is>
      </c>
      <c r="H81" s="30" t="inlineStr">
        <is>
          <t>Drama</t>
        </is>
      </c>
      <c r="I81" s="32" t="inlineStr">
        <is>
          <t>نبيلة عبيد</t>
        </is>
      </c>
      <c r="J81" s="32" t="n"/>
      <c r="K81" s="32" t="n"/>
      <c r="L81" s="33">
        <f>IF(B81="","",IF(LEFT(TRIM(B81),2)="ال",MID(TRIM(B81),3,1),LEFT(TRIM(B81),1)))</f>
        <v/>
      </c>
      <c r="M81" s="28">
        <f>IF(B81="","",LEN(TRIM(B81))-LEN(SUBSTITUTE(TRIM(B81)," ",""))+1)</f>
        <v/>
      </c>
      <c r="N81" s="31" t="inlineStr">
        <is>
          <t>Draft</t>
        </is>
      </c>
    </row>
    <row r="82" ht="15" customHeight="1" s="21">
      <c r="A82" s="28" t="n">
        <v>81</v>
      </c>
      <c r="B82" s="29" t="inlineStr">
        <is>
          <t>حنفي الأبهة</t>
        </is>
      </c>
      <c r="C82" s="30" t="inlineStr">
        <is>
          <t>7anafy El Obbaha</t>
        </is>
      </c>
      <c r="D82" s="31" t="inlineStr">
        <is>
          <t>Film</t>
        </is>
      </c>
      <c r="E82" s="31" t="n">
        <v>1990</v>
      </c>
      <c r="F82" s="28">
        <f>IF(E82="","",IF(E82&lt;1970,"Abyad w eswed",IF(E82&lt;2000,"70s-90s",IF(E82&lt;2015,"2000s","Gedeed"))))</f>
        <v/>
      </c>
      <c r="G82" s="31" t="inlineStr">
        <is>
          <t>Wasat</t>
        </is>
      </c>
      <c r="H82" s="30" t="inlineStr">
        <is>
          <t>Comedy</t>
        </is>
      </c>
      <c r="I82" s="32" t="inlineStr">
        <is>
          <t>عادل إمام</t>
        </is>
      </c>
      <c r="J82" s="32" t="inlineStr">
        <is>
          <t>حنفي</t>
        </is>
      </c>
      <c r="K82" s="32" t="n"/>
      <c r="L82" s="33">
        <f>IF(B82="","",IF(LEFT(TRIM(B82),2)="ال",MID(TRIM(B82),3,1),LEFT(TRIM(B82),1)))</f>
        <v/>
      </c>
      <c r="M82" s="28">
        <f>IF(B82="","",LEN(TRIM(B82))-LEN(SUBSTITUTE(TRIM(B82)," ",""))+1)</f>
        <v/>
      </c>
      <c r="N82" s="31" t="inlineStr">
        <is>
          <t>Draft</t>
        </is>
      </c>
    </row>
    <row r="83" ht="15" customHeight="1" s="21">
      <c r="A83" s="28" t="n">
        <v>82</v>
      </c>
      <c r="B83" s="29" t="inlineStr">
        <is>
          <t>كابوريا</t>
        </is>
      </c>
      <c r="C83" s="30" t="inlineStr">
        <is>
          <t>Kaboria</t>
        </is>
      </c>
      <c r="D83" s="31" t="inlineStr">
        <is>
          <t>Film</t>
        </is>
      </c>
      <c r="E83" s="31" t="n">
        <v>1990</v>
      </c>
      <c r="F83" s="28">
        <f>IF(E83="","",IF(E83&lt;1970,"Abyad w eswed",IF(E83&lt;2000,"70s-90s",IF(E83&lt;2015,"2000s","Gedeed"))))</f>
        <v/>
      </c>
      <c r="G83" s="31" t="inlineStr">
        <is>
          <t>Sahl</t>
        </is>
      </c>
      <c r="H83" s="30" t="inlineStr">
        <is>
          <t>Drama</t>
        </is>
      </c>
      <c r="I83" s="32" t="inlineStr">
        <is>
          <t>أحمد زكي</t>
        </is>
      </c>
      <c r="J83" s="32" t="inlineStr">
        <is>
          <t>حسن هدهد</t>
        </is>
      </c>
      <c r="K83" s="32" t="n"/>
      <c r="L83" s="33">
        <f>IF(B83="","",IF(LEFT(TRIM(B83),2)="ال",MID(TRIM(B83),3,1),LEFT(TRIM(B83),1)))</f>
        <v/>
      </c>
      <c r="M83" s="28">
        <f>IF(B83="","",LEN(TRIM(B83))-LEN(SUBSTITUTE(TRIM(B83)," ",""))+1)</f>
        <v/>
      </c>
      <c r="N83" s="31" t="inlineStr">
        <is>
          <t>Draft</t>
        </is>
      </c>
    </row>
    <row r="84" ht="15" customHeight="1" s="21">
      <c r="A84" s="28" t="n">
        <v>83</v>
      </c>
      <c r="B84" s="29" t="inlineStr">
        <is>
          <t>الكيت كات</t>
        </is>
      </c>
      <c r="C84" s="30" t="inlineStr">
        <is>
          <t>El Kit Kat</t>
        </is>
      </c>
      <c r="D84" s="31" t="inlineStr">
        <is>
          <t>Film</t>
        </is>
      </c>
      <c r="E84" s="31" t="n">
        <v>1991</v>
      </c>
      <c r="F84" s="28">
        <f>IF(E84="","",IF(E84&lt;1970,"Abyad w eswed",IF(E84&lt;2000,"70s-90s",IF(E84&lt;2015,"2000s","Gedeed"))))</f>
        <v/>
      </c>
      <c r="G84" s="31" t="inlineStr">
        <is>
          <t>Wasat</t>
        </is>
      </c>
      <c r="H84" s="30" t="inlineStr">
        <is>
          <t>Comedy</t>
        </is>
      </c>
      <c r="I84" s="32" t="inlineStr">
        <is>
          <t>محمود عبد العزيز</t>
        </is>
      </c>
      <c r="J84" s="32" t="inlineStr">
        <is>
          <t>الشيخ حسني</t>
        </is>
      </c>
      <c r="K84" s="32" t="n"/>
      <c r="L84" s="33">
        <f>IF(B84="","",IF(LEFT(TRIM(B84),2)="ال",MID(TRIM(B84),3,1),LEFT(TRIM(B84),1)))</f>
        <v/>
      </c>
      <c r="M84" s="28">
        <f>IF(B84="","",LEN(TRIM(B84))-LEN(SUBSTITUTE(TRIM(B84)," ",""))+1)</f>
        <v/>
      </c>
      <c r="N84" s="31" t="inlineStr">
        <is>
          <t>Draft</t>
        </is>
      </c>
    </row>
    <row r="85" ht="15" customHeight="1" s="21">
      <c r="A85" s="28" t="n">
        <v>84</v>
      </c>
      <c r="B85" s="29" t="inlineStr">
        <is>
          <t>اللعب مع الكبار</t>
        </is>
      </c>
      <c r="C85" s="30" t="inlineStr">
        <is>
          <t>El Le3b Ma3 El Kobar</t>
        </is>
      </c>
      <c r="D85" s="31" t="inlineStr">
        <is>
          <t>Film</t>
        </is>
      </c>
      <c r="E85" s="31" t="n">
        <v>1991</v>
      </c>
      <c r="F85" s="28">
        <f>IF(E85="","",IF(E85&lt;1970,"Abyad w eswed",IF(E85&lt;2000,"70s-90s",IF(E85&lt;2015,"2000s","Gedeed"))))</f>
        <v/>
      </c>
      <c r="G85" s="31" t="inlineStr">
        <is>
          <t>Wasat</t>
        </is>
      </c>
      <c r="H85" s="30" t="inlineStr">
        <is>
          <t>Drama</t>
        </is>
      </c>
      <c r="I85" s="32" t="inlineStr">
        <is>
          <t>عادل إمام</t>
        </is>
      </c>
      <c r="J85" s="32" t="inlineStr">
        <is>
          <t>حسن بهنسي بهلول</t>
        </is>
      </c>
      <c r="K85" s="32" t="n"/>
      <c r="L85" s="33">
        <f>IF(B85="","",IF(LEFT(TRIM(B85),2)="ال",MID(TRIM(B85),3,1),LEFT(TRIM(B85),1)))</f>
        <v/>
      </c>
      <c r="M85" s="28">
        <f>IF(B85="","",LEN(TRIM(B85))-LEN(SUBSTITUTE(TRIM(B85)," ",""))+1)</f>
        <v/>
      </c>
      <c r="N85" s="31" t="inlineStr">
        <is>
          <t>Draft</t>
        </is>
      </c>
    </row>
    <row r="86" ht="15" customHeight="1" s="21">
      <c r="A86" s="28" t="n">
        <v>85</v>
      </c>
      <c r="B86" s="29" t="inlineStr">
        <is>
          <t>الهروب</t>
        </is>
      </c>
      <c r="C86" s="30" t="inlineStr">
        <is>
          <t>El Horoub</t>
        </is>
      </c>
      <c r="D86" s="31" t="inlineStr">
        <is>
          <t>Film</t>
        </is>
      </c>
      <c r="E86" s="31" t="n">
        <v>1991</v>
      </c>
      <c r="F86" s="28">
        <f>IF(E86="","",IF(E86&lt;1970,"Abyad w eswed",IF(E86&lt;2000,"70s-90s",IF(E86&lt;2015,"2000s","Gedeed"))))</f>
        <v/>
      </c>
      <c r="G86" s="31" t="inlineStr">
        <is>
          <t>Wasat</t>
        </is>
      </c>
      <c r="H86" s="30" t="inlineStr">
        <is>
          <t>Action</t>
        </is>
      </c>
      <c r="I86" s="32" t="inlineStr">
        <is>
          <t>أحمد زكي</t>
        </is>
      </c>
      <c r="J86" s="32" t="inlineStr">
        <is>
          <t>منتصر</t>
        </is>
      </c>
      <c r="K86" s="32" t="n"/>
      <c r="L86" s="33">
        <f>IF(B86="","",IF(LEFT(TRIM(B86),2)="ال",MID(TRIM(B86),3,1),LEFT(TRIM(B86),1)))</f>
        <v/>
      </c>
      <c r="M86" s="28">
        <f>IF(B86="","",LEN(TRIM(B86))-LEN(SUBSTITUTE(TRIM(B86)," ",""))+1)</f>
        <v/>
      </c>
      <c r="N86" s="31" t="inlineStr">
        <is>
          <t>Draft</t>
        </is>
      </c>
    </row>
    <row r="87" ht="15" customHeight="1" s="21">
      <c r="A87" s="28" t="n">
        <v>86</v>
      </c>
      <c r="B87" s="29" t="inlineStr">
        <is>
          <t>شمس الزناتي</t>
        </is>
      </c>
      <c r="C87" s="30" t="inlineStr">
        <is>
          <t>Shams El Zanaty</t>
        </is>
      </c>
      <c r="D87" s="31" t="inlineStr">
        <is>
          <t>Film</t>
        </is>
      </c>
      <c r="E87" s="31" t="n">
        <v>1991</v>
      </c>
      <c r="F87" s="28">
        <f>IF(E87="","",IF(E87&lt;1970,"Abyad w eswed",IF(E87&lt;2000,"70s-90s",IF(E87&lt;2015,"2000s","Gedeed"))))</f>
        <v/>
      </c>
      <c r="G87" s="31" t="inlineStr">
        <is>
          <t>Wasat</t>
        </is>
      </c>
      <c r="H87" s="30" t="inlineStr">
        <is>
          <t>Action</t>
        </is>
      </c>
      <c r="I87" s="32" t="inlineStr">
        <is>
          <t>عادل إمام</t>
        </is>
      </c>
      <c r="J87" s="32" t="inlineStr">
        <is>
          <t>شمس الزناتي</t>
        </is>
      </c>
      <c r="K87" s="32" t="n"/>
      <c r="L87" s="33">
        <f>IF(B87="","",IF(LEFT(TRIM(B87),2)="ال",MID(TRIM(B87),3,1),LEFT(TRIM(B87),1)))</f>
        <v/>
      </c>
      <c r="M87" s="28">
        <f>IF(B87="","",LEN(TRIM(B87))-LEN(SUBSTITUTE(TRIM(B87)," ",""))+1)</f>
        <v/>
      </c>
      <c r="N87" s="31" t="inlineStr">
        <is>
          <t>Draft</t>
        </is>
      </c>
    </row>
    <row r="88" ht="15" customHeight="1" s="21">
      <c r="A88" s="28" t="n">
        <v>87</v>
      </c>
      <c r="B88" s="29" t="inlineStr">
        <is>
          <t>آيس كريم في جليم</t>
        </is>
      </c>
      <c r="C88" s="30" t="inlineStr">
        <is>
          <t>Ice Cream fi Gleem</t>
        </is>
      </c>
      <c r="D88" s="31" t="inlineStr">
        <is>
          <t>Film</t>
        </is>
      </c>
      <c r="E88" s="31" t="n">
        <v>1992</v>
      </c>
      <c r="F88" s="28">
        <f>IF(E88="","",IF(E88&lt;1970,"Abyad w eswed",IF(E88&lt;2000,"70s-90s",IF(E88&lt;2015,"2000s","Gedeed"))))</f>
        <v/>
      </c>
      <c r="G88" s="31" t="inlineStr">
        <is>
          <t>Wasat</t>
        </is>
      </c>
      <c r="H88" s="30" t="inlineStr">
        <is>
          <t>Musical</t>
        </is>
      </c>
      <c r="I88" s="32" t="inlineStr">
        <is>
          <t>عمرو دياب</t>
        </is>
      </c>
      <c r="J88" s="32" t="n"/>
      <c r="K88" s="32" t="n"/>
      <c r="L88" s="33">
        <f>IF(B88="","",IF(LEFT(TRIM(B88),2)="ال",MID(TRIM(B88),3,1),LEFT(TRIM(B88),1)))</f>
        <v/>
      </c>
      <c r="M88" s="28">
        <f>IF(B88="","",LEN(TRIM(B88))-LEN(SUBSTITUTE(TRIM(B88)," ",""))+1)</f>
        <v/>
      </c>
      <c r="N88" s="31" t="inlineStr">
        <is>
          <t>Rage3ha</t>
        </is>
      </c>
    </row>
    <row r="89" ht="15" customHeight="1" s="21">
      <c r="A89" s="28" t="n">
        <v>88</v>
      </c>
      <c r="B89" s="29" t="inlineStr">
        <is>
          <t>الإرهاب والكباب</t>
        </is>
      </c>
      <c r="C89" s="30" t="inlineStr">
        <is>
          <t>El Erhab wel Kabab</t>
        </is>
      </c>
      <c r="D89" s="31" t="inlineStr">
        <is>
          <t>Film</t>
        </is>
      </c>
      <c r="E89" s="31" t="n">
        <v>1992</v>
      </c>
      <c r="F89" s="28">
        <f>IF(E89="","",IF(E89&lt;1970,"Abyad w eswed",IF(E89&lt;2000,"70s-90s",IF(E89&lt;2015,"2000s","Gedeed"))))</f>
        <v/>
      </c>
      <c r="G89" s="31" t="inlineStr">
        <is>
          <t>Sahl</t>
        </is>
      </c>
      <c r="H89" s="30" t="inlineStr">
        <is>
          <t>Comedy</t>
        </is>
      </c>
      <c r="I89" s="32" t="inlineStr">
        <is>
          <t>عادل إمام</t>
        </is>
      </c>
      <c r="J89" s="32" t="inlineStr">
        <is>
          <t>أحمد</t>
        </is>
      </c>
      <c r="K89" s="32" t="n"/>
      <c r="L89" s="33">
        <f>IF(B89="","",IF(LEFT(TRIM(B89),2)="ال",MID(TRIM(B89),3,1),LEFT(TRIM(B89),1)))</f>
        <v/>
      </c>
      <c r="M89" s="28">
        <f>IF(B89="","",LEN(TRIM(B89))-LEN(SUBSTITUTE(TRIM(B89)," ",""))+1)</f>
        <v/>
      </c>
      <c r="N89" s="31" t="inlineStr">
        <is>
          <t>Draft</t>
        </is>
      </c>
    </row>
    <row r="90" ht="15" customHeight="1" s="21">
      <c r="A90" s="28" t="n">
        <v>89</v>
      </c>
      <c r="B90" s="29" t="inlineStr">
        <is>
          <t>ضد الحكومة</t>
        </is>
      </c>
      <c r="C90" s="30" t="inlineStr">
        <is>
          <t>Ded El 7okouma</t>
        </is>
      </c>
      <c r="D90" s="31" t="inlineStr">
        <is>
          <t>Film</t>
        </is>
      </c>
      <c r="E90" s="31" t="n">
        <v>1992</v>
      </c>
      <c r="F90" s="28">
        <f>IF(E90="","",IF(E90&lt;1970,"Abyad w eswed",IF(E90&lt;2000,"70s-90s",IF(E90&lt;2015,"2000s","Gedeed"))))</f>
        <v/>
      </c>
      <c r="G90" s="31" t="inlineStr">
        <is>
          <t>Wasat</t>
        </is>
      </c>
      <c r="H90" s="30" t="inlineStr">
        <is>
          <t>Drama</t>
        </is>
      </c>
      <c r="I90" s="32" t="inlineStr">
        <is>
          <t>أحمد زكي</t>
        </is>
      </c>
      <c r="J90" s="32" t="inlineStr">
        <is>
          <t>مصطفى خلف</t>
        </is>
      </c>
      <c r="K90" s="32" t="inlineStr">
        <is>
          <t>كلنا فاسدون</t>
        </is>
      </c>
      <c r="L90" s="33">
        <f>IF(B90="","",IF(LEFT(TRIM(B90),2)="ال",MID(TRIM(B90),3,1),LEFT(TRIM(B90),1)))</f>
        <v/>
      </c>
      <c r="M90" s="28">
        <f>IF(B90="","",LEN(TRIM(B90))-LEN(SUBSTITUTE(TRIM(B90)," ",""))+1)</f>
        <v/>
      </c>
      <c r="N90" s="31" t="inlineStr">
        <is>
          <t>Draft</t>
        </is>
      </c>
    </row>
    <row r="91" ht="15" customHeight="1" s="21">
      <c r="A91" s="28" t="n">
        <v>90</v>
      </c>
      <c r="B91" s="29" t="inlineStr">
        <is>
          <t>المنسي</t>
        </is>
      </c>
      <c r="C91" s="30" t="inlineStr">
        <is>
          <t>El Mansy</t>
        </is>
      </c>
      <c r="D91" s="31" t="inlineStr">
        <is>
          <t>Film</t>
        </is>
      </c>
      <c r="E91" s="31" t="n">
        <v>1993</v>
      </c>
      <c r="F91" s="28">
        <f>IF(E91="","",IF(E91&lt;1970,"Abyad w eswed",IF(E91&lt;2000,"70s-90s",IF(E91&lt;2015,"2000s","Gedeed"))))</f>
        <v/>
      </c>
      <c r="G91" s="31" t="inlineStr">
        <is>
          <t>Wasat</t>
        </is>
      </c>
      <c r="H91" s="30" t="inlineStr">
        <is>
          <t>Comedy</t>
        </is>
      </c>
      <c r="I91" s="32" t="inlineStr">
        <is>
          <t>عادل إمام</t>
        </is>
      </c>
      <c r="J91" s="32" t="inlineStr">
        <is>
          <t>يوسف المنسي</t>
        </is>
      </c>
      <c r="K91" s="32" t="n"/>
      <c r="L91" s="33">
        <f>IF(B91="","",IF(LEFT(TRIM(B91),2)="ال",MID(TRIM(B91),3,1),LEFT(TRIM(B91),1)))</f>
        <v/>
      </c>
      <c r="M91" s="28">
        <f>IF(B91="","",LEN(TRIM(B91))-LEN(SUBSTITUTE(TRIM(B91)," ",""))+1)</f>
        <v/>
      </c>
      <c r="N91" s="31" t="inlineStr">
        <is>
          <t>Draft</t>
        </is>
      </c>
    </row>
    <row r="92" ht="15" customHeight="1" s="21">
      <c r="A92" s="28" t="n">
        <v>91</v>
      </c>
      <c r="B92" s="29" t="inlineStr">
        <is>
          <t>مستر كاراتيه</t>
        </is>
      </c>
      <c r="C92" s="30" t="inlineStr">
        <is>
          <t>Mister Karate</t>
        </is>
      </c>
      <c r="D92" s="31" t="inlineStr">
        <is>
          <t>Film</t>
        </is>
      </c>
      <c r="E92" s="31" t="n">
        <v>1993</v>
      </c>
      <c r="F92" s="28">
        <f>IF(E92="","",IF(E92&lt;1970,"Abyad w eswed",IF(E92&lt;2000,"70s-90s",IF(E92&lt;2015,"2000s","Gedeed"))))</f>
        <v/>
      </c>
      <c r="G92" s="31" t="inlineStr">
        <is>
          <t>Wasat</t>
        </is>
      </c>
      <c r="H92" s="30" t="inlineStr">
        <is>
          <t>Action</t>
        </is>
      </c>
      <c r="I92" s="32" t="inlineStr">
        <is>
          <t>أحمد زكي</t>
        </is>
      </c>
      <c r="J92" s="32" t="n"/>
      <c r="K92" s="32" t="n"/>
      <c r="L92" s="33">
        <f>IF(B92="","",IF(LEFT(TRIM(B92),2)="ال",MID(TRIM(B92),3,1),LEFT(TRIM(B92),1)))</f>
        <v/>
      </c>
      <c r="M92" s="28">
        <f>IF(B92="","",LEN(TRIM(B92))-LEN(SUBSTITUTE(TRIM(B92)," ",""))+1)</f>
        <v/>
      </c>
      <c r="N92" s="31" t="inlineStr">
        <is>
          <t>Rage3ha</t>
        </is>
      </c>
    </row>
    <row r="93" ht="15" customHeight="1" s="21">
      <c r="A93" s="28" t="n">
        <v>92</v>
      </c>
      <c r="B93" s="29" t="inlineStr">
        <is>
          <t>الإرهابي</t>
        </is>
      </c>
      <c r="C93" s="30" t="inlineStr">
        <is>
          <t>El Erhaby</t>
        </is>
      </c>
      <c r="D93" s="31" t="inlineStr">
        <is>
          <t>Film</t>
        </is>
      </c>
      <c r="E93" s="31" t="n">
        <v>1994</v>
      </c>
      <c r="F93" s="28">
        <f>IF(E93="","",IF(E93&lt;1970,"Abyad w eswed",IF(E93&lt;2000,"70s-90s",IF(E93&lt;2015,"2000s","Gedeed"))))</f>
        <v/>
      </c>
      <c r="G93" s="31" t="inlineStr">
        <is>
          <t>Wasat</t>
        </is>
      </c>
      <c r="H93" s="30" t="inlineStr">
        <is>
          <t>Drama</t>
        </is>
      </c>
      <c r="I93" s="32" t="inlineStr">
        <is>
          <t>عادل إمام</t>
        </is>
      </c>
      <c r="J93" s="32" t="inlineStr">
        <is>
          <t>علي عبد الظاهر</t>
        </is>
      </c>
      <c r="K93" s="32" t="n"/>
      <c r="L93" s="33">
        <f>IF(B93="","",IF(LEFT(TRIM(B93),2)="ال",MID(TRIM(B93),3,1),LEFT(TRIM(B93),1)))</f>
        <v/>
      </c>
      <c r="M93" s="28">
        <f>IF(B93="","",LEN(TRIM(B93))-LEN(SUBSTITUTE(TRIM(B93)," ",""))+1)</f>
        <v/>
      </c>
      <c r="N93" s="31" t="inlineStr">
        <is>
          <t>Draft</t>
        </is>
      </c>
    </row>
    <row r="94" ht="15" customHeight="1" s="21">
      <c r="A94" s="28" t="n">
        <v>93</v>
      </c>
      <c r="B94" s="29" t="inlineStr">
        <is>
          <t>المهاجر</t>
        </is>
      </c>
      <c r="C94" s="30" t="inlineStr">
        <is>
          <t>El Mohager</t>
        </is>
      </c>
      <c r="D94" s="31" t="inlineStr">
        <is>
          <t>Film</t>
        </is>
      </c>
      <c r="E94" s="31" t="n">
        <v>1994</v>
      </c>
      <c r="F94" s="28">
        <f>IF(E94="","",IF(E94&lt;1970,"Abyad w eswed",IF(E94&lt;2000,"70s-90s",IF(E94&lt;2015,"2000s","Gedeed"))))</f>
        <v/>
      </c>
      <c r="G94" s="31" t="inlineStr">
        <is>
          <t>Sa3b</t>
        </is>
      </c>
      <c r="H94" s="30" t="inlineStr">
        <is>
          <t>Ta2reekhy</t>
        </is>
      </c>
      <c r="I94" s="32" t="inlineStr">
        <is>
          <t>خالد النبوي</t>
        </is>
      </c>
      <c r="J94" s="32" t="n"/>
      <c r="K94" s="32" t="n"/>
      <c r="L94" s="33">
        <f>IF(B94="","",IF(LEFT(TRIM(B94),2)="ال",MID(TRIM(B94),3,1),LEFT(TRIM(B94),1)))</f>
        <v/>
      </c>
      <c r="M94" s="28">
        <f>IF(B94="","",LEN(TRIM(B94))-LEN(SUBSTITUTE(TRIM(B94)," ",""))+1)</f>
        <v/>
      </c>
      <c r="N94" s="31" t="inlineStr">
        <is>
          <t>Draft</t>
        </is>
      </c>
    </row>
    <row r="95" ht="15" customHeight="1" s="21">
      <c r="A95" s="28" t="n">
        <v>94</v>
      </c>
      <c r="B95" s="29" t="inlineStr">
        <is>
          <t>بخيت وعديلة</t>
        </is>
      </c>
      <c r="C95" s="30" t="inlineStr">
        <is>
          <t>Bekheet w 3adeela</t>
        </is>
      </c>
      <c r="D95" s="31" t="inlineStr">
        <is>
          <t>Film</t>
        </is>
      </c>
      <c r="E95" s="31" t="n">
        <v>1995</v>
      </c>
      <c r="F95" s="28">
        <f>IF(E95="","",IF(E95&lt;1970,"Abyad w eswed",IF(E95&lt;2000,"70s-90s",IF(E95&lt;2015,"2000s","Gedeed"))))</f>
        <v/>
      </c>
      <c r="G95" s="31" t="inlineStr">
        <is>
          <t>Wasat</t>
        </is>
      </c>
      <c r="H95" s="30" t="inlineStr">
        <is>
          <t>Comedy</t>
        </is>
      </c>
      <c r="I95" s="32" t="inlineStr">
        <is>
          <t>عادل إمام</t>
        </is>
      </c>
      <c r="J95" s="32" t="inlineStr">
        <is>
          <t>بخيت</t>
        </is>
      </c>
      <c r="K95" s="32" t="n"/>
      <c r="L95" s="33">
        <f>IF(B95="","",IF(LEFT(TRIM(B95),2)="ال",MID(TRIM(B95),3,1),LEFT(TRIM(B95),1)))</f>
        <v/>
      </c>
      <c r="M95" s="28">
        <f>IF(B95="","",LEN(TRIM(B95))-LEN(SUBSTITUTE(TRIM(B95)," ",""))+1)</f>
        <v/>
      </c>
      <c r="N95" s="31" t="inlineStr">
        <is>
          <t>Draft</t>
        </is>
      </c>
    </row>
    <row r="96" ht="15" customHeight="1" s="21">
      <c r="A96" s="28" t="n">
        <v>95</v>
      </c>
      <c r="B96" s="29" t="inlineStr">
        <is>
          <t>طيور الظلام</t>
        </is>
      </c>
      <c r="C96" s="30" t="inlineStr">
        <is>
          <t>Toyour El Zalam</t>
        </is>
      </c>
      <c r="D96" s="31" t="inlineStr">
        <is>
          <t>Film</t>
        </is>
      </c>
      <c r="E96" s="31" t="n">
        <v>1995</v>
      </c>
      <c r="F96" s="28">
        <f>IF(E96="","",IF(E96&lt;1970,"Abyad w eswed",IF(E96&lt;2000,"70s-90s",IF(E96&lt;2015,"2000s","Gedeed"))))</f>
        <v/>
      </c>
      <c r="G96" s="31" t="inlineStr">
        <is>
          <t>Wasat</t>
        </is>
      </c>
      <c r="H96" s="30" t="inlineStr">
        <is>
          <t>Drama</t>
        </is>
      </c>
      <c r="I96" s="32" t="inlineStr">
        <is>
          <t>عادل إمام</t>
        </is>
      </c>
      <c r="J96" s="32" t="inlineStr">
        <is>
          <t>فتحي نوفل</t>
        </is>
      </c>
      <c r="K96" s="32" t="n"/>
      <c r="L96" s="33">
        <f>IF(B96="","",IF(LEFT(TRIM(B96),2)="ال",MID(TRIM(B96),3,1),LEFT(TRIM(B96),1)))</f>
        <v/>
      </c>
      <c r="M96" s="28">
        <f>IF(B96="","",LEN(TRIM(B96))-LEN(SUBSTITUTE(TRIM(B96)," ",""))+1)</f>
        <v/>
      </c>
      <c r="N96" s="31" t="inlineStr">
        <is>
          <t>Draft</t>
        </is>
      </c>
    </row>
    <row r="97" ht="15" customHeight="1" s="21">
      <c r="A97" s="28" t="n">
        <v>96</v>
      </c>
      <c r="B97" s="29" t="inlineStr">
        <is>
          <t>النوم في العسل</t>
        </is>
      </c>
      <c r="C97" s="30" t="inlineStr">
        <is>
          <t>El Nom fel 3asal</t>
        </is>
      </c>
      <c r="D97" s="31" t="inlineStr">
        <is>
          <t>Film</t>
        </is>
      </c>
      <c r="E97" s="31" t="n">
        <v>1996</v>
      </c>
      <c r="F97" s="28">
        <f>IF(E97="","",IF(E97&lt;1970,"Abyad w eswed",IF(E97&lt;2000,"70s-90s",IF(E97&lt;2015,"2000s","Gedeed"))))</f>
        <v/>
      </c>
      <c r="G97" s="31" t="inlineStr">
        <is>
          <t>Wasat</t>
        </is>
      </c>
      <c r="H97" s="30" t="inlineStr">
        <is>
          <t>Comedy</t>
        </is>
      </c>
      <c r="I97" s="32" t="inlineStr">
        <is>
          <t>عادل إمام</t>
        </is>
      </c>
      <c r="J97" s="32" t="inlineStr">
        <is>
          <t>مجدي نور</t>
        </is>
      </c>
      <c r="K97" s="32" t="n"/>
      <c r="L97" s="33">
        <f>IF(B97="","",IF(LEFT(TRIM(B97),2)="ال",MID(TRIM(B97),3,1),LEFT(TRIM(B97),1)))</f>
        <v/>
      </c>
      <c r="M97" s="28">
        <f>IF(B97="","",LEN(TRIM(B97))-LEN(SUBSTITUTE(TRIM(B97)," ",""))+1)</f>
        <v/>
      </c>
      <c r="N97" s="31" t="inlineStr">
        <is>
          <t>Draft</t>
        </is>
      </c>
    </row>
    <row r="98" ht="15" customHeight="1" s="21">
      <c r="A98" s="28" t="n">
        <v>97</v>
      </c>
      <c r="B98" s="29" t="inlineStr">
        <is>
          <t>ناصر 56</t>
        </is>
      </c>
      <c r="C98" s="30" t="inlineStr">
        <is>
          <t>Nasser 56</t>
        </is>
      </c>
      <c r="D98" s="31" t="inlineStr">
        <is>
          <t>Film</t>
        </is>
      </c>
      <c r="E98" s="31" t="n">
        <v>1996</v>
      </c>
      <c r="F98" s="28">
        <f>IF(E98="","",IF(E98&lt;1970,"Abyad w eswed",IF(E98&lt;2000,"70s-90s",IF(E98&lt;2015,"2000s","Gedeed"))))</f>
        <v/>
      </c>
      <c r="G98" s="31" t="inlineStr">
        <is>
          <t>Wasat</t>
        </is>
      </c>
      <c r="H98" s="30" t="inlineStr">
        <is>
          <t>Ta2reekhy</t>
        </is>
      </c>
      <c r="I98" s="32" t="inlineStr">
        <is>
          <t>أحمد زكي</t>
        </is>
      </c>
      <c r="J98" s="32" t="inlineStr">
        <is>
          <t>جمال عبد الناصر</t>
        </is>
      </c>
      <c r="K98" s="32" t="n"/>
      <c r="L98" s="33">
        <f>IF(B98="","",IF(LEFT(TRIM(B98),2)="ال",MID(TRIM(B98),3,1),LEFT(TRIM(B98),1)))</f>
        <v/>
      </c>
      <c r="M98" s="28">
        <f>IF(B98="","",LEN(TRIM(B98))-LEN(SUBSTITUTE(TRIM(B98)," ",""))+1)</f>
        <v/>
      </c>
      <c r="N98" s="31" t="inlineStr">
        <is>
          <t>Draft</t>
        </is>
      </c>
    </row>
    <row r="99" ht="15" customHeight="1" s="21">
      <c r="A99" s="28" t="n">
        <v>98</v>
      </c>
      <c r="B99" s="29" t="inlineStr">
        <is>
          <t>إسماعيلية رايح جاي</t>
        </is>
      </c>
      <c r="C99" s="30" t="inlineStr">
        <is>
          <t>Ismailia Raye7 Gay</t>
        </is>
      </c>
      <c r="D99" s="31" t="inlineStr">
        <is>
          <t>Film</t>
        </is>
      </c>
      <c r="E99" s="31" t="n">
        <v>1997</v>
      </c>
      <c r="F99" s="28">
        <f>IF(E99="","",IF(E99&lt;1970,"Abyad w eswed",IF(E99&lt;2000,"70s-90s",IF(E99&lt;2015,"2000s","Gedeed"))))</f>
        <v/>
      </c>
      <c r="G99" s="31" t="inlineStr">
        <is>
          <t>Sahl</t>
        </is>
      </c>
      <c r="H99" s="30" t="inlineStr">
        <is>
          <t>Comedy</t>
        </is>
      </c>
      <c r="I99" s="32" t="inlineStr">
        <is>
          <t>محمد فؤاد</t>
        </is>
      </c>
      <c r="J99" s="32" t="n"/>
      <c r="K99" s="32" t="n"/>
      <c r="L99" s="33">
        <f>IF(B99="","",IF(LEFT(TRIM(B99),2)="ال",MID(TRIM(B99),3,1),LEFT(TRIM(B99),1)))</f>
        <v/>
      </c>
      <c r="M99" s="28">
        <f>IF(B99="","",LEN(TRIM(B99))-LEN(SUBSTITUTE(TRIM(B99)," ",""))+1)</f>
        <v/>
      </c>
      <c r="N99" s="31" t="inlineStr">
        <is>
          <t>Draft</t>
        </is>
      </c>
    </row>
    <row r="100" ht="15" customHeight="1" s="21">
      <c r="A100" s="28" t="n">
        <v>99</v>
      </c>
      <c r="B100" s="29" t="inlineStr">
        <is>
          <t>اضحك الصورة تطلع حلوة</t>
        </is>
      </c>
      <c r="C100" s="30" t="inlineStr">
        <is>
          <t>E2da7ak El Soura Tetla3 7elwa</t>
        </is>
      </c>
      <c r="D100" s="31" t="inlineStr">
        <is>
          <t>Film</t>
        </is>
      </c>
      <c r="E100" s="31" t="n">
        <v>1998</v>
      </c>
      <c r="F100" s="28">
        <f>IF(E100="","",IF(E100&lt;1970,"Abyad w eswed",IF(E100&lt;2000,"70s-90s",IF(E100&lt;2015,"2000s","Gedeed"))))</f>
        <v/>
      </c>
      <c r="G100" s="31" t="inlineStr">
        <is>
          <t>Wasat</t>
        </is>
      </c>
      <c r="H100" s="30" t="inlineStr">
        <is>
          <t>Drama</t>
        </is>
      </c>
      <c r="I100" s="32" t="inlineStr">
        <is>
          <t>أحمد زكي</t>
        </is>
      </c>
      <c r="J100" s="32" t="inlineStr">
        <is>
          <t>سيد غريب</t>
        </is>
      </c>
      <c r="K100" s="32" t="n"/>
      <c r="L100" s="33">
        <f>IF(B100="","",IF(LEFT(TRIM(B100),2)="ال",MID(TRIM(B100),3,1),LEFT(TRIM(B100),1)))</f>
        <v/>
      </c>
      <c r="M100" s="28">
        <f>IF(B100="","",LEN(TRIM(B100))-LEN(SUBSTITUTE(TRIM(B100)," ",""))+1)</f>
        <v/>
      </c>
      <c r="N100" s="31" t="inlineStr">
        <is>
          <t>Draft</t>
        </is>
      </c>
    </row>
    <row r="101" ht="15" customHeight="1" s="21">
      <c r="A101" s="28" t="n">
        <v>100</v>
      </c>
      <c r="B101" s="29" t="inlineStr">
        <is>
          <t>صعيدي في الجامعة الأمريكية</t>
        </is>
      </c>
      <c r="C101" s="30" t="inlineStr">
        <is>
          <t>Se3idy fel Gam3a El Amrikeya</t>
        </is>
      </c>
      <c r="D101" s="31" t="inlineStr">
        <is>
          <t>Film</t>
        </is>
      </c>
      <c r="E101" s="31" t="n">
        <v>1998</v>
      </c>
      <c r="F101" s="28">
        <f>IF(E101="","",IF(E101&lt;1970,"Abyad w eswed",IF(E101&lt;2000,"70s-90s",IF(E101&lt;2015,"2000s","Gedeed"))))</f>
        <v/>
      </c>
      <c r="G101" s="31" t="inlineStr">
        <is>
          <t>Sahl</t>
        </is>
      </c>
      <c r="H101" s="30" t="inlineStr">
        <is>
          <t>Comedy</t>
        </is>
      </c>
      <c r="I101" s="32" t="inlineStr">
        <is>
          <t>محمد هنيدي</t>
        </is>
      </c>
      <c r="J101" s="32" t="inlineStr">
        <is>
          <t>خلف الدهشوري خلف</t>
        </is>
      </c>
      <c r="K101" s="32" t="n"/>
      <c r="L101" s="33">
        <f>IF(B101="","",IF(LEFT(TRIM(B101),2)="ال",MID(TRIM(B101),3,1),LEFT(TRIM(B101),1)))</f>
        <v/>
      </c>
      <c r="M101" s="28">
        <f>IF(B101="","",LEN(TRIM(B101))-LEN(SUBSTITUTE(TRIM(B101)," ",""))+1)</f>
        <v/>
      </c>
      <c r="N101" s="31" t="inlineStr">
        <is>
          <t>Draft</t>
        </is>
      </c>
    </row>
    <row r="102" ht="15" customHeight="1" s="21">
      <c r="A102" s="28" t="n">
        <v>101</v>
      </c>
      <c r="B102" s="29" t="inlineStr">
        <is>
          <t>عرق البلح</t>
        </is>
      </c>
      <c r="C102" s="30" t="inlineStr">
        <is>
          <t>3ara2 El Bala7</t>
        </is>
      </c>
      <c r="D102" s="31" t="inlineStr">
        <is>
          <t>Film</t>
        </is>
      </c>
      <c r="E102" s="31" t="n">
        <v>1998</v>
      </c>
      <c r="F102" s="28">
        <f>IF(E102="","",IF(E102&lt;1970,"Abyad w eswed",IF(E102&lt;2000,"70s-90s",IF(E102&lt;2015,"2000s","Gedeed"))))</f>
        <v/>
      </c>
      <c r="G102" s="31" t="inlineStr">
        <is>
          <t>Sa3b</t>
        </is>
      </c>
      <c r="H102" s="30" t="inlineStr">
        <is>
          <t>Drama</t>
        </is>
      </c>
      <c r="I102" s="32" t="inlineStr">
        <is>
          <t>شريف منير</t>
        </is>
      </c>
      <c r="J102" s="32" t="n"/>
      <c r="K102" s="32" t="n"/>
      <c r="L102" s="33">
        <f>IF(B102="","",IF(LEFT(TRIM(B102),2)="ال",MID(TRIM(B102),3,1),LEFT(TRIM(B102),1)))</f>
        <v/>
      </c>
      <c r="M102" s="28">
        <f>IF(B102="","",LEN(TRIM(B102))-LEN(SUBSTITUTE(TRIM(B102)," ",""))+1)</f>
        <v/>
      </c>
      <c r="N102" s="31" t="inlineStr">
        <is>
          <t>Rage3ha</t>
        </is>
      </c>
    </row>
    <row r="103" ht="15" customHeight="1" s="21">
      <c r="A103" s="28" t="n">
        <v>102</v>
      </c>
      <c r="B103" s="29" t="inlineStr">
        <is>
          <t>الواد محروس بتاع الوزير</t>
        </is>
      </c>
      <c r="C103" s="30" t="inlineStr">
        <is>
          <t>El Wad Ma7rous Beta3 El Wazir</t>
        </is>
      </c>
      <c r="D103" s="31" t="inlineStr">
        <is>
          <t>Film</t>
        </is>
      </c>
      <c r="E103" s="31" t="n">
        <v>1999</v>
      </c>
      <c r="F103" s="28">
        <f>IF(E103="","",IF(E103&lt;1970,"Abyad w eswed",IF(E103&lt;2000,"70s-90s",IF(E103&lt;2015,"2000s","Gedeed"))))</f>
        <v/>
      </c>
      <c r="G103" s="31" t="inlineStr">
        <is>
          <t>Wasat</t>
        </is>
      </c>
      <c r="H103" s="30" t="inlineStr">
        <is>
          <t>Comedy</t>
        </is>
      </c>
      <c r="I103" s="32" t="inlineStr">
        <is>
          <t>عادل إمام</t>
        </is>
      </c>
      <c r="J103" s="32" t="inlineStr">
        <is>
          <t>محروس</t>
        </is>
      </c>
      <c r="K103" s="32" t="n"/>
      <c r="L103" s="33">
        <f>IF(B103="","",IF(LEFT(TRIM(B103),2)="ال",MID(TRIM(B103),3,1),LEFT(TRIM(B103),1)))</f>
        <v/>
      </c>
      <c r="M103" s="28">
        <f>IF(B103="","",LEN(TRIM(B103))-LEN(SUBSTITUTE(TRIM(B103)," ",""))+1)</f>
        <v/>
      </c>
      <c r="N103" s="31" t="inlineStr">
        <is>
          <t>Draft</t>
        </is>
      </c>
    </row>
    <row r="104" ht="15" customHeight="1" s="21">
      <c r="A104" s="28" t="n">
        <v>103</v>
      </c>
      <c r="B104" s="29" t="inlineStr">
        <is>
          <t>عبود على الحدود</t>
        </is>
      </c>
      <c r="C104" s="30" t="inlineStr">
        <is>
          <t>3abboud 3al 7edoud</t>
        </is>
      </c>
      <c r="D104" s="31" t="inlineStr">
        <is>
          <t>Film</t>
        </is>
      </c>
      <c r="E104" s="31" t="n">
        <v>1999</v>
      </c>
      <c r="F104" s="28">
        <f>IF(E104="","",IF(E104&lt;1970,"Abyad w eswed",IF(E104&lt;2000,"70s-90s",IF(E104&lt;2015,"2000s","Gedeed"))))</f>
        <v/>
      </c>
      <c r="G104" s="31" t="inlineStr">
        <is>
          <t>Sahl</t>
        </is>
      </c>
      <c r="H104" s="30" t="inlineStr">
        <is>
          <t>Comedy</t>
        </is>
      </c>
      <c r="I104" s="32" t="inlineStr">
        <is>
          <t>علاء ولي الدين</t>
        </is>
      </c>
      <c r="J104" s="32" t="inlineStr">
        <is>
          <t>عبود</t>
        </is>
      </c>
      <c r="K104" s="32" t="n"/>
      <c r="L104" s="33">
        <f>IF(B104="","",IF(LEFT(TRIM(B104),2)="ال",MID(TRIM(B104),3,1),LEFT(TRIM(B104),1)))</f>
        <v/>
      </c>
      <c r="M104" s="28">
        <f>IF(B104="","",LEN(TRIM(B104))-LEN(SUBSTITUTE(TRIM(B104)," ",""))+1)</f>
        <v/>
      </c>
      <c r="N104" s="31" t="inlineStr">
        <is>
          <t>Draft</t>
        </is>
      </c>
    </row>
    <row r="105" ht="15" customHeight="1" s="21">
      <c r="A105" s="28" t="n">
        <v>104</v>
      </c>
      <c r="B105" s="29" t="inlineStr">
        <is>
          <t>همام في أمستردام</t>
        </is>
      </c>
      <c r="C105" s="30" t="inlineStr">
        <is>
          <t>Hammam fi Amsterdam</t>
        </is>
      </c>
      <c r="D105" s="31" t="inlineStr">
        <is>
          <t>Film</t>
        </is>
      </c>
      <c r="E105" s="31" t="n">
        <v>1999</v>
      </c>
      <c r="F105" s="28">
        <f>IF(E105="","",IF(E105&lt;1970,"Abyad w eswed",IF(E105&lt;2000,"70s-90s",IF(E105&lt;2015,"2000s","Gedeed"))))</f>
        <v/>
      </c>
      <c r="G105" s="31" t="inlineStr">
        <is>
          <t>Sahl</t>
        </is>
      </c>
      <c r="H105" s="30" t="inlineStr">
        <is>
          <t>Comedy</t>
        </is>
      </c>
      <c r="I105" s="32" t="inlineStr">
        <is>
          <t>محمد هنيدي</t>
        </is>
      </c>
      <c r="J105" s="32" t="inlineStr">
        <is>
          <t>همام</t>
        </is>
      </c>
      <c r="K105" s="32" t="n"/>
      <c r="L105" s="33">
        <f>IF(B105="","",IF(LEFT(TRIM(B105),2)="ال",MID(TRIM(B105),3,1),LEFT(TRIM(B105),1)))</f>
        <v/>
      </c>
      <c r="M105" s="28">
        <f>IF(B105="","",LEN(TRIM(B105))-LEN(SUBSTITUTE(TRIM(B105)," ",""))+1)</f>
        <v/>
      </c>
      <c r="N105" s="31" t="inlineStr">
        <is>
          <t>Draft</t>
        </is>
      </c>
    </row>
    <row r="106" ht="15" customHeight="1" s="21">
      <c r="A106" s="28" t="n">
        <v>105</v>
      </c>
      <c r="B106" s="29" t="inlineStr">
        <is>
          <t>أرض الخوف</t>
        </is>
      </c>
      <c r="C106" s="30" t="inlineStr">
        <is>
          <t>Ard El Khof</t>
        </is>
      </c>
      <c r="D106" s="31" t="inlineStr">
        <is>
          <t>Film</t>
        </is>
      </c>
      <c r="E106" s="31" t="n">
        <v>2000</v>
      </c>
      <c r="F106" s="28">
        <f>IF(E106="","",IF(E106&lt;1970,"Abyad w eswed",IF(E106&lt;2000,"70s-90s",IF(E106&lt;2015,"2000s","Gedeed"))))</f>
        <v/>
      </c>
      <c r="G106" s="31" t="inlineStr">
        <is>
          <t>Sa3b</t>
        </is>
      </c>
      <c r="H106" s="30" t="inlineStr">
        <is>
          <t>Crime</t>
        </is>
      </c>
      <c r="I106" s="32" t="inlineStr">
        <is>
          <t>أحمد زكي</t>
        </is>
      </c>
      <c r="J106" s="32" t="inlineStr">
        <is>
          <t>يحيى المنقبادي</t>
        </is>
      </c>
      <c r="K106" s="32" t="n"/>
      <c r="L106" s="33">
        <f>IF(B106="","",IF(LEFT(TRIM(B106),2)="ال",MID(TRIM(B106),3,1),LEFT(TRIM(B106),1)))</f>
        <v/>
      </c>
      <c r="M106" s="28">
        <f>IF(B106="","",LEN(TRIM(B106))-LEN(SUBSTITUTE(TRIM(B106)," ",""))+1)</f>
        <v/>
      </c>
      <c r="N106" s="31" t="inlineStr">
        <is>
          <t>Draft</t>
        </is>
      </c>
    </row>
    <row r="107" ht="15" customHeight="1" s="21">
      <c r="A107" s="28" t="n">
        <v>106</v>
      </c>
      <c r="B107" s="29" t="inlineStr">
        <is>
          <t>الناظر</t>
        </is>
      </c>
      <c r="C107" s="30" t="inlineStr">
        <is>
          <t>El Nazer</t>
        </is>
      </c>
      <c r="D107" s="31" t="inlineStr">
        <is>
          <t>Film</t>
        </is>
      </c>
      <c r="E107" s="31" t="n">
        <v>2000</v>
      </c>
      <c r="F107" s="28">
        <f>IF(E107="","",IF(E107&lt;1970,"Abyad w eswed",IF(E107&lt;2000,"70s-90s",IF(E107&lt;2015,"2000s","Gedeed"))))</f>
        <v/>
      </c>
      <c r="G107" s="31" t="inlineStr">
        <is>
          <t>Sahl</t>
        </is>
      </c>
      <c r="H107" s="30" t="inlineStr">
        <is>
          <t>Comedy</t>
        </is>
      </c>
      <c r="I107" s="32" t="inlineStr">
        <is>
          <t>علاء ولي الدين</t>
        </is>
      </c>
      <c r="J107" s="32" t="inlineStr">
        <is>
          <t>عاشور</t>
        </is>
      </c>
      <c r="K107" s="32" t="n"/>
      <c r="L107" s="33">
        <f>IF(B107="","",IF(LEFT(TRIM(B107),2)="ال",MID(TRIM(B107),3,1),LEFT(TRIM(B107),1)))</f>
        <v/>
      </c>
      <c r="M107" s="28">
        <f>IF(B107="","",LEN(TRIM(B107))-LEN(SUBSTITUTE(TRIM(B107)," ",""))+1)</f>
        <v/>
      </c>
      <c r="N107" s="31" t="inlineStr">
        <is>
          <t>Draft</t>
        </is>
      </c>
    </row>
    <row r="108" ht="15" customHeight="1" s="21">
      <c r="A108" s="28" t="n">
        <v>107</v>
      </c>
      <c r="B108" s="29" t="inlineStr">
        <is>
          <t>شورت وفانلة وكاب</t>
        </is>
      </c>
      <c r="C108" s="30" t="inlineStr">
        <is>
          <t>Short w Fanella w Cap</t>
        </is>
      </c>
      <c r="D108" s="31" t="inlineStr">
        <is>
          <t>Film</t>
        </is>
      </c>
      <c r="E108" s="31" t="n">
        <v>2000</v>
      </c>
      <c r="F108" s="28">
        <f>IF(E108="","",IF(E108&lt;1970,"Abyad w eswed",IF(E108&lt;2000,"70s-90s",IF(E108&lt;2015,"2000s","Gedeed"))))</f>
        <v/>
      </c>
      <c r="G108" s="31" t="inlineStr">
        <is>
          <t>Wasat</t>
        </is>
      </c>
      <c r="H108" s="30" t="inlineStr">
        <is>
          <t>Action</t>
        </is>
      </c>
      <c r="I108" s="32" t="inlineStr">
        <is>
          <t>أحمد السقا</t>
        </is>
      </c>
      <c r="J108" s="32" t="n"/>
      <c r="K108" s="32" t="n"/>
      <c r="L108" s="33">
        <f>IF(B108="","",IF(LEFT(TRIM(B108),2)="ال",MID(TRIM(B108),3,1),LEFT(TRIM(B108),1)))</f>
        <v/>
      </c>
      <c r="M108" s="28">
        <f>IF(B108="","",LEN(TRIM(B108))-LEN(SUBSTITUTE(TRIM(B108)," ",""))+1)</f>
        <v/>
      </c>
      <c r="N108" s="31" t="inlineStr">
        <is>
          <t>Draft</t>
        </is>
      </c>
    </row>
    <row r="109" ht="15" customHeight="1" s="21">
      <c r="A109" s="28" t="n">
        <v>108</v>
      </c>
      <c r="B109" s="29" t="inlineStr">
        <is>
          <t>أفريكانو</t>
        </is>
      </c>
      <c r="C109" s="30" t="inlineStr">
        <is>
          <t>Africano</t>
        </is>
      </c>
      <c r="D109" s="31" t="inlineStr">
        <is>
          <t>Film</t>
        </is>
      </c>
      <c r="E109" s="31" t="n">
        <v>2001</v>
      </c>
      <c r="F109" s="28">
        <f>IF(E109="","",IF(E109&lt;1970,"Abyad w eswed",IF(E109&lt;2000,"70s-90s",IF(E109&lt;2015,"2000s","Gedeed"))))</f>
        <v/>
      </c>
      <c r="G109" s="31" t="inlineStr">
        <is>
          <t>Wasat</t>
        </is>
      </c>
      <c r="H109" s="30" t="inlineStr">
        <is>
          <t>Action</t>
        </is>
      </c>
      <c r="I109" s="32" t="inlineStr">
        <is>
          <t>أحمد السقا</t>
        </is>
      </c>
      <c r="J109" s="32" t="n"/>
      <c r="K109" s="32" t="n"/>
      <c r="L109" s="33">
        <f>IF(B109="","",IF(LEFT(TRIM(B109),2)="ال",MID(TRIM(B109),3,1),LEFT(TRIM(B109),1)))</f>
        <v/>
      </c>
      <c r="M109" s="28">
        <f>IF(B109="","",LEN(TRIM(B109))-LEN(SUBSTITUTE(TRIM(B109)," ",""))+1)</f>
        <v/>
      </c>
      <c r="N109" s="31" t="inlineStr">
        <is>
          <t>Rage3ha</t>
        </is>
      </c>
    </row>
    <row r="110" ht="15" customHeight="1" s="21">
      <c r="A110" s="28" t="n">
        <v>109</v>
      </c>
      <c r="B110" s="29" t="inlineStr">
        <is>
          <t>أيام السادات</t>
        </is>
      </c>
      <c r="C110" s="30" t="inlineStr">
        <is>
          <t>Ayam El Sadat</t>
        </is>
      </c>
      <c r="D110" s="31" t="inlineStr">
        <is>
          <t>Film</t>
        </is>
      </c>
      <c r="E110" s="31" t="n">
        <v>2001</v>
      </c>
      <c r="F110" s="28">
        <f>IF(E110="","",IF(E110&lt;1970,"Abyad w eswed",IF(E110&lt;2000,"70s-90s",IF(E110&lt;2015,"2000s","Gedeed"))))</f>
        <v/>
      </c>
      <c r="G110" s="31" t="inlineStr">
        <is>
          <t>Wasat</t>
        </is>
      </c>
      <c r="H110" s="30" t="inlineStr">
        <is>
          <t>Ta2reekhy</t>
        </is>
      </c>
      <c r="I110" s="32" t="inlineStr">
        <is>
          <t>أحمد زكي</t>
        </is>
      </c>
      <c r="J110" s="32" t="inlineStr">
        <is>
          <t>أنور السادات</t>
        </is>
      </c>
      <c r="K110" s="32" t="n"/>
      <c r="L110" s="33">
        <f>IF(B110="","",IF(LEFT(TRIM(B110),2)="ال",MID(TRIM(B110),3,1),LEFT(TRIM(B110),1)))</f>
        <v/>
      </c>
      <c r="M110" s="28">
        <f>IF(B110="","",LEN(TRIM(B110))-LEN(SUBSTITUTE(TRIM(B110)," ",""))+1)</f>
        <v/>
      </c>
      <c r="N110" s="31" t="inlineStr">
        <is>
          <t>Draft</t>
        </is>
      </c>
    </row>
    <row r="111" ht="15" customHeight="1" s="21">
      <c r="A111" s="28" t="n">
        <v>110</v>
      </c>
      <c r="B111" s="29" t="inlineStr">
        <is>
          <t>ابن عز</t>
        </is>
      </c>
      <c r="C111" s="30" t="inlineStr">
        <is>
          <t>Ibn 3ezz</t>
        </is>
      </c>
      <c r="D111" s="31" t="inlineStr">
        <is>
          <t>Film</t>
        </is>
      </c>
      <c r="E111" s="31" t="n">
        <v>2001</v>
      </c>
      <c r="F111" s="28">
        <f>IF(E111="","",IF(E111&lt;1970,"Abyad w eswed",IF(E111&lt;2000,"70s-90s",IF(E111&lt;2015,"2000s","Gedeed"))))</f>
        <v/>
      </c>
      <c r="G111" s="31" t="inlineStr">
        <is>
          <t>Wasat</t>
        </is>
      </c>
      <c r="H111" s="30" t="inlineStr">
        <is>
          <t>Comedy</t>
        </is>
      </c>
      <c r="I111" s="32" t="inlineStr">
        <is>
          <t>علاء ولي الدين</t>
        </is>
      </c>
      <c r="J111" s="32" t="n"/>
      <c r="K111" s="32" t="n"/>
      <c r="L111" s="33">
        <f>IF(B111="","",IF(LEFT(TRIM(B111),2)="ال",MID(TRIM(B111),3,1),LEFT(TRIM(B111),1)))</f>
        <v/>
      </c>
      <c r="M111" s="28">
        <f>IF(B111="","",LEN(TRIM(B111))-LEN(SUBSTITUTE(TRIM(B111)," ",""))+1)</f>
        <v/>
      </c>
      <c r="N111" s="31" t="inlineStr">
        <is>
          <t>Rage3ha</t>
        </is>
      </c>
    </row>
    <row r="112" ht="15" customHeight="1" s="21">
      <c r="A112" s="28" t="n">
        <v>111</v>
      </c>
      <c r="B112" s="29" t="inlineStr">
        <is>
          <t>الساحر</t>
        </is>
      </c>
      <c r="C112" s="30" t="inlineStr">
        <is>
          <t>El Sa7er</t>
        </is>
      </c>
      <c r="D112" s="31" t="inlineStr">
        <is>
          <t>Film</t>
        </is>
      </c>
      <c r="E112" s="31" t="n">
        <v>2001</v>
      </c>
      <c r="F112" s="28">
        <f>IF(E112="","",IF(E112&lt;1970,"Abyad w eswed",IF(E112&lt;2000,"70s-90s",IF(E112&lt;2015,"2000s","Gedeed"))))</f>
        <v/>
      </c>
      <c r="G112" s="31" t="inlineStr">
        <is>
          <t>Wasat</t>
        </is>
      </c>
      <c r="H112" s="30" t="inlineStr">
        <is>
          <t>Comedy</t>
        </is>
      </c>
      <c r="I112" s="32" t="inlineStr">
        <is>
          <t>محمود عبد العزيز</t>
        </is>
      </c>
      <c r="J112" s="32" t="n"/>
      <c r="K112" s="32" t="n"/>
      <c r="L112" s="33">
        <f>IF(B112="","",IF(LEFT(TRIM(B112),2)="ال",MID(TRIM(B112),3,1),LEFT(TRIM(B112),1)))</f>
        <v/>
      </c>
      <c r="M112" s="28">
        <f>IF(B112="","",LEN(TRIM(B112))-LEN(SUBSTITUTE(TRIM(B112)," ",""))+1)</f>
        <v/>
      </c>
      <c r="N112" s="31" t="inlineStr">
        <is>
          <t>Draft</t>
        </is>
      </c>
    </row>
    <row r="113" ht="15" customHeight="1" s="21">
      <c r="A113" s="28" t="n">
        <v>112</v>
      </c>
      <c r="B113" s="29" t="inlineStr">
        <is>
          <t>السلم والثعبان</t>
        </is>
      </c>
      <c r="C113" s="30" t="inlineStr">
        <is>
          <t>El Sellem wel Te3ban</t>
        </is>
      </c>
      <c r="D113" s="31" t="inlineStr">
        <is>
          <t>Film</t>
        </is>
      </c>
      <c r="E113" s="31" t="n">
        <v>2001</v>
      </c>
      <c r="F113" s="28">
        <f>IF(E113="","",IF(E113&lt;1970,"Abyad w eswed",IF(E113&lt;2000,"70s-90s",IF(E113&lt;2015,"2000s","Gedeed"))))</f>
        <v/>
      </c>
      <c r="G113" s="31" t="inlineStr">
        <is>
          <t>Wasat</t>
        </is>
      </c>
      <c r="H113" s="30" t="inlineStr">
        <is>
          <t>Romance</t>
        </is>
      </c>
      <c r="I113" s="32" t="inlineStr">
        <is>
          <t>هاني سلامة</t>
        </is>
      </c>
      <c r="J113" s="32" t="n"/>
      <c r="K113" s="32" t="n"/>
      <c r="L113" s="33">
        <f>IF(B113="","",IF(LEFT(TRIM(B113),2)="ال",MID(TRIM(B113),3,1),LEFT(TRIM(B113),1)))</f>
        <v/>
      </c>
      <c r="M113" s="28">
        <f>IF(B113="","",LEN(TRIM(B113))-LEN(SUBSTITUTE(TRIM(B113)," ",""))+1)</f>
        <v/>
      </c>
      <c r="N113" s="31" t="inlineStr">
        <is>
          <t>Rage3ha</t>
        </is>
      </c>
    </row>
    <row r="114" ht="15" customHeight="1" s="21">
      <c r="A114" s="28" t="n">
        <v>113</v>
      </c>
      <c r="B114" s="29" t="inlineStr">
        <is>
          <t>جاءنا البيان التالي</t>
        </is>
      </c>
      <c r="C114" s="30" t="inlineStr">
        <is>
          <t>Ga2ana El Bayan El Taly</t>
        </is>
      </c>
      <c r="D114" s="31" t="inlineStr">
        <is>
          <t>Film</t>
        </is>
      </c>
      <c r="E114" s="31" t="n">
        <v>2001</v>
      </c>
      <c r="F114" s="28">
        <f>IF(E114="","",IF(E114&lt;1970,"Abyad w eswed",IF(E114&lt;2000,"70s-90s",IF(E114&lt;2015,"2000s","Gedeed"))))</f>
        <v/>
      </c>
      <c r="G114" s="31" t="inlineStr">
        <is>
          <t>Wasat</t>
        </is>
      </c>
      <c r="H114" s="30" t="inlineStr">
        <is>
          <t>Comedy</t>
        </is>
      </c>
      <c r="I114" s="32" t="inlineStr">
        <is>
          <t>محمد هنيدي</t>
        </is>
      </c>
      <c r="J114" s="32" t="n"/>
      <c r="K114" s="32" t="n"/>
      <c r="L114" s="33">
        <f>IF(B114="","",IF(LEFT(TRIM(B114),2)="ال",MID(TRIM(B114),3,1),LEFT(TRIM(B114),1)))</f>
        <v/>
      </c>
      <c r="M114" s="28">
        <f>IF(B114="","",LEN(TRIM(B114))-LEN(SUBSTITUTE(TRIM(B114)," ",""))+1)</f>
        <v/>
      </c>
      <c r="N114" s="31" t="inlineStr">
        <is>
          <t>Draft</t>
        </is>
      </c>
    </row>
    <row r="115" ht="15" customHeight="1" s="21">
      <c r="A115" s="28" t="n">
        <v>114</v>
      </c>
      <c r="B115" s="29" t="inlineStr">
        <is>
          <t>جواز بقرار جمهوري</t>
        </is>
      </c>
      <c r="C115" s="30" t="inlineStr">
        <is>
          <t>Gawaz Be2arar Gomhoury</t>
        </is>
      </c>
      <c r="D115" s="31" t="inlineStr">
        <is>
          <t>Film</t>
        </is>
      </c>
      <c r="E115" s="31" t="n">
        <v>2001</v>
      </c>
      <c r="F115" s="28">
        <f>IF(E115="","",IF(E115&lt;1970,"Abyad w eswed",IF(E115&lt;2000,"70s-90s",IF(E115&lt;2015,"2000s","Gedeed"))))</f>
        <v/>
      </c>
      <c r="G115" s="31" t="inlineStr">
        <is>
          <t>Wasat</t>
        </is>
      </c>
      <c r="H115" s="30" t="inlineStr">
        <is>
          <t>Comedy</t>
        </is>
      </c>
      <c r="I115" s="32" t="inlineStr">
        <is>
          <t>هاني رمزي</t>
        </is>
      </c>
      <c r="J115" s="32" t="n"/>
      <c r="K115" s="32" t="n"/>
      <c r="L115" s="33">
        <f>IF(B115="","",IF(LEFT(TRIM(B115),2)="ال",MID(TRIM(B115),3,1),LEFT(TRIM(B115),1)))</f>
        <v/>
      </c>
      <c r="M115" s="28">
        <f>IF(B115="","",LEN(TRIM(B115))-LEN(SUBSTITUTE(TRIM(B115)," ",""))+1)</f>
        <v/>
      </c>
      <c r="N115" s="31" t="inlineStr">
        <is>
          <t>Draft</t>
        </is>
      </c>
    </row>
    <row r="116" ht="15" customHeight="1" s="21">
      <c r="A116" s="28" t="n">
        <v>115</v>
      </c>
      <c r="B116" s="29" t="inlineStr">
        <is>
          <t>أمير الظلام</t>
        </is>
      </c>
      <c r="C116" s="30" t="inlineStr">
        <is>
          <t>Amir El Zalam</t>
        </is>
      </c>
      <c r="D116" s="31" t="inlineStr">
        <is>
          <t>Film</t>
        </is>
      </c>
      <c r="E116" s="31" t="n">
        <v>2002</v>
      </c>
      <c r="F116" s="28">
        <f>IF(E116="","",IF(E116&lt;1970,"Abyad w eswed",IF(E116&lt;2000,"70s-90s",IF(E116&lt;2015,"2000s","Gedeed"))))</f>
        <v/>
      </c>
      <c r="G116" s="31" t="inlineStr">
        <is>
          <t>Wasat</t>
        </is>
      </c>
      <c r="H116" s="30" t="inlineStr">
        <is>
          <t>Drama</t>
        </is>
      </c>
      <c r="I116" s="32" t="inlineStr">
        <is>
          <t>عادل إمام</t>
        </is>
      </c>
      <c r="J116" s="32" t="n"/>
      <c r="K116" s="32" t="n"/>
      <c r="L116" s="33">
        <f>IF(B116="","",IF(LEFT(TRIM(B116),2)="ال",MID(TRIM(B116),3,1),LEFT(TRIM(B116),1)))</f>
        <v/>
      </c>
      <c r="M116" s="28">
        <f>IF(B116="","",LEN(TRIM(B116))-LEN(SUBSTITUTE(TRIM(B116)," ",""))+1)</f>
        <v/>
      </c>
      <c r="N116" s="31" t="inlineStr">
        <is>
          <t>Draft</t>
        </is>
      </c>
    </row>
    <row r="117" ht="15" customHeight="1" s="21">
      <c r="A117" s="28" t="n">
        <v>116</v>
      </c>
      <c r="B117" s="29" t="inlineStr">
        <is>
          <t>اللمبي</t>
        </is>
      </c>
      <c r="C117" s="30" t="inlineStr">
        <is>
          <t>El Limby</t>
        </is>
      </c>
      <c r="D117" s="31" t="inlineStr">
        <is>
          <t>Film</t>
        </is>
      </c>
      <c r="E117" s="31" t="n">
        <v>2002</v>
      </c>
      <c r="F117" s="28">
        <f>IF(E117="","",IF(E117&lt;1970,"Abyad w eswed",IF(E117&lt;2000,"70s-90s",IF(E117&lt;2015,"2000s","Gedeed"))))</f>
        <v/>
      </c>
      <c r="G117" s="31" t="inlineStr">
        <is>
          <t>Sahl</t>
        </is>
      </c>
      <c r="H117" s="30" t="inlineStr">
        <is>
          <t>Comedy</t>
        </is>
      </c>
      <c r="I117" s="32" t="inlineStr">
        <is>
          <t>محمد سعد</t>
        </is>
      </c>
      <c r="J117" s="32" t="inlineStr">
        <is>
          <t>اللمبي</t>
        </is>
      </c>
      <c r="K117" s="32" t="n"/>
      <c r="L117" s="33">
        <f>IF(B117="","",IF(LEFT(TRIM(B117),2)="ال",MID(TRIM(B117),3,1),LEFT(TRIM(B117),1)))</f>
        <v/>
      </c>
      <c r="M117" s="28">
        <f>IF(B117="","",LEN(TRIM(B117))-LEN(SUBSTITUTE(TRIM(B117)," ",""))+1)</f>
        <v/>
      </c>
      <c r="N117" s="31" t="inlineStr">
        <is>
          <t>Draft</t>
        </is>
      </c>
    </row>
    <row r="118" ht="15" customHeight="1" s="21">
      <c r="A118" s="28" t="n">
        <v>117</v>
      </c>
      <c r="B118" s="29" t="inlineStr">
        <is>
          <t>حرامية في كي جي تو</t>
        </is>
      </c>
      <c r="C118" s="30" t="inlineStr">
        <is>
          <t>7arameya fi KG2</t>
        </is>
      </c>
      <c r="D118" s="31" t="inlineStr">
        <is>
          <t>Film</t>
        </is>
      </c>
      <c r="E118" s="31" t="n">
        <v>2002</v>
      </c>
      <c r="F118" s="28">
        <f>IF(E118="","",IF(E118&lt;1970,"Abyad w eswed",IF(E118&lt;2000,"70s-90s",IF(E118&lt;2015,"2000s","Gedeed"))))</f>
        <v/>
      </c>
      <c r="G118" s="31" t="inlineStr">
        <is>
          <t>Sahl</t>
        </is>
      </c>
      <c r="H118" s="30" t="inlineStr">
        <is>
          <t>Comedy</t>
        </is>
      </c>
      <c r="I118" s="32" t="inlineStr">
        <is>
          <t>كريم عبد العزيز</t>
        </is>
      </c>
      <c r="J118" s="32" t="n"/>
      <c r="K118" s="32" t="n"/>
      <c r="L118" s="33">
        <f>IF(B118="","",IF(LEFT(TRIM(B118),2)="ال",MID(TRIM(B118),3,1),LEFT(TRIM(B118),1)))</f>
        <v/>
      </c>
      <c r="M118" s="28">
        <f>IF(B118="","",LEN(TRIM(B118))-LEN(SUBSTITUTE(TRIM(B118)," ",""))+1)</f>
        <v/>
      </c>
      <c r="N118" s="31" t="inlineStr">
        <is>
          <t>Draft</t>
        </is>
      </c>
    </row>
    <row r="119" ht="15" customHeight="1" s="21">
      <c r="A119" s="28" t="n">
        <v>118</v>
      </c>
      <c r="B119" s="29" t="inlineStr">
        <is>
          <t>صاحب صاحبه</t>
        </is>
      </c>
      <c r="C119" s="30" t="inlineStr">
        <is>
          <t>Sa7eb Sa7bo</t>
        </is>
      </c>
      <c r="D119" s="31" t="inlineStr">
        <is>
          <t>Film</t>
        </is>
      </c>
      <c r="E119" s="31" t="n">
        <v>2002</v>
      </c>
      <c r="F119" s="28">
        <f>IF(E119="","",IF(E119&lt;1970,"Abyad w eswed",IF(E119&lt;2000,"70s-90s",IF(E119&lt;2015,"2000s","Gedeed"))))</f>
        <v/>
      </c>
      <c r="G119" s="31" t="inlineStr">
        <is>
          <t>Wasat</t>
        </is>
      </c>
      <c r="H119" s="30" t="inlineStr">
        <is>
          <t>Comedy</t>
        </is>
      </c>
      <c r="I119" s="32" t="inlineStr">
        <is>
          <t>محمد هنيدي</t>
        </is>
      </c>
      <c r="J119" s="32" t="n"/>
      <c r="K119" s="32" t="n"/>
      <c r="L119" s="33">
        <f>IF(B119="","",IF(LEFT(TRIM(B119),2)="ال",MID(TRIM(B119),3,1),LEFT(TRIM(B119),1)))</f>
        <v/>
      </c>
      <c r="M119" s="28">
        <f>IF(B119="","",LEN(TRIM(B119))-LEN(SUBSTITUTE(TRIM(B119)," ",""))+1)</f>
        <v/>
      </c>
      <c r="N119" s="31" t="inlineStr">
        <is>
          <t>Draft</t>
        </is>
      </c>
    </row>
    <row r="120" ht="15" customHeight="1" s="21">
      <c r="A120" s="28" t="n">
        <v>119</v>
      </c>
      <c r="B120" s="29" t="inlineStr">
        <is>
          <t>مافيا</t>
        </is>
      </c>
      <c r="C120" s="30" t="inlineStr">
        <is>
          <t>Mafia</t>
        </is>
      </c>
      <c r="D120" s="31" t="inlineStr">
        <is>
          <t>Film</t>
        </is>
      </c>
      <c r="E120" s="31" t="n">
        <v>2002</v>
      </c>
      <c r="F120" s="28">
        <f>IF(E120="","",IF(E120&lt;1970,"Abyad w eswed",IF(E120&lt;2000,"70s-90s",IF(E120&lt;2015,"2000s","Gedeed"))))</f>
        <v/>
      </c>
      <c r="G120" s="31" t="inlineStr">
        <is>
          <t>Wasat</t>
        </is>
      </c>
      <c r="H120" s="30" t="inlineStr">
        <is>
          <t>Action</t>
        </is>
      </c>
      <c r="I120" s="32" t="inlineStr">
        <is>
          <t>أحمد السقا</t>
        </is>
      </c>
      <c r="J120" s="32" t="n"/>
      <c r="K120" s="32" t="n"/>
      <c r="L120" s="33">
        <f>IF(B120="","",IF(LEFT(TRIM(B120),2)="ال",MID(TRIM(B120),3,1),LEFT(TRIM(B120),1)))</f>
        <v/>
      </c>
      <c r="M120" s="28">
        <f>IF(B120="","",LEN(TRIM(B120))-LEN(SUBSTITUTE(TRIM(B120)," ",""))+1)</f>
        <v/>
      </c>
      <c r="N120" s="31" t="inlineStr">
        <is>
          <t>Draft</t>
        </is>
      </c>
    </row>
    <row r="121" ht="15" customHeight="1" s="21">
      <c r="A121" s="28" t="n">
        <v>120</v>
      </c>
      <c r="B121" s="29" t="inlineStr">
        <is>
          <t>محامي خلع</t>
        </is>
      </c>
      <c r="C121" s="30" t="inlineStr">
        <is>
          <t>Mo7amy Khol3</t>
        </is>
      </c>
      <c r="D121" s="31" t="inlineStr">
        <is>
          <t>Film</t>
        </is>
      </c>
      <c r="E121" s="31" t="n">
        <v>2002</v>
      </c>
      <c r="F121" s="28">
        <f>IF(E121="","",IF(E121&lt;1970,"Abyad w eswed",IF(E121&lt;2000,"70s-90s",IF(E121&lt;2015,"2000s","Gedeed"))))</f>
        <v/>
      </c>
      <c r="G121" s="31" t="inlineStr">
        <is>
          <t>Wasat</t>
        </is>
      </c>
      <c r="H121" s="30" t="inlineStr">
        <is>
          <t>Comedy</t>
        </is>
      </c>
      <c r="I121" s="32" t="inlineStr">
        <is>
          <t>هاني رمزي</t>
        </is>
      </c>
      <c r="J121" s="32" t="n"/>
      <c r="K121" s="32" t="n"/>
      <c r="L121" s="33">
        <f>IF(B121="","",IF(LEFT(TRIM(B121),2)="ال",MID(TRIM(B121),3,1),LEFT(TRIM(B121),1)))</f>
        <v/>
      </c>
      <c r="M121" s="28">
        <f>IF(B121="","",LEN(TRIM(B121))-LEN(SUBSTITUTE(TRIM(B121)," ",""))+1)</f>
        <v/>
      </c>
      <c r="N121" s="31" t="inlineStr">
        <is>
          <t>Draft</t>
        </is>
      </c>
    </row>
    <row r="122" ht="15" customHeight="1" s="21">
      <c r="A122" s="28" t="n">
        <v>121</v>
      </c>
      <c r="B122" s="29" t="inlineStr">
        <is>
          <t>معالي الوزير</t>
        </is>
      </c>
      <c r="C122" s="30" t="inlineStr">
        <is>
          <t>Ma3aly El Wazir</t>
        </is>
      </c>
      <c r="D122" s="31" t="inlineStr">
        <is>
          <t>Film</t>
        </is>
      </c>
      <c r="E122" s="31" t="n">
        <v>2002</v>
      </c>
      <c r="F122" s="28">
        <f>IF(E122="","",IF(E122&lt;1970,"Abyad w eswed",IF(E122&lt;2000,"70s-90s",IF(E122&lt;2015,"2000s","Gedeed"))))</f>
        <v/>
      </c>
      <c r="G122" s="31" t="inlineStr">
        <is>
          <t>Wasat</t>
        </is>
      </c>
      <c r="H122" s="30" t="inlineStr">
        <is>
          <t>Drama</t>
        </is>
      </c>
      <c r="I122" s="32" t="inlineStr">
        <is>
          <t>أحمد زكي</t>
        </is>
      </c>
      <c r="J122" s="32" t="inlineStr">
        <is>
          <t>رأفت رستم</t>
        </is>
      </c>
      <c r="K122" s="32" t="n"/>
      <c r="L122" s="33">
        <f>IF(B122="","",IF(LEFT(TRIM(B122),2)="ال",MID(TRIM(B122),3,1),LEFT(TRIM(B122),1)))</f>
        <v/>
      </c>
      <c r="M122" s="28">
        <f>IF(B122="","",LEN(TRIM(B122))-LEN(SUBSTITUTE(TRIM(B122)," ",""))+1)</f>
        <v/>
      </c>
      <c r="N122" s="31" t="inlineStr">
        <is>
          <t>Draft</t>
        </is>
      </c>
    </row>
    <row r="123" ht="15" customHeight="1" s="21">
      <c r="A123" s="28" t="n">
        <v>122</v>
      </c>
      <c r="B123" s="29" t="inlineStr">
        <is>
          <t>التجربة الدنماركية</t>
        </is>
      </c>
      <c r="C123" s="30" t="inlineStr">
        <is>
          <t>El Tagroba El Danmarkeya</t>
        </is>
      </c>
      <c r="D123" s="31" t="inlineStr">
        <is>
          <t>Film</t>
        </is>
      </c>
      <c r="E123" s="31" t="n">
        <v>2003</v>
      </c>
      <c r="F123" s="28">
        <f>IF(E123="","",IF(E123&lt;1970,"Abyad w eswed",IF(E123&lt;2000,"70s-90s",IF(E123&lt;2015,"2000s","Gedeed"))))</f>
        <v/>
      </c>
      <c r="G123" s="31" t="inlineStr">
        <is>
          <t>Wasat</t>
        </is>
      </c>
      <c r="H123" s="30" t="inlineStr">
        <is>
          <t>Comedy</t>
        </is>
      </c>
      <c r="I123" s="32" t="inlineStr">
        <is>
          <t>عادل إمام</t>
        </is>
      </c>
      <c r="J123" s="32" t="inlineStr">
        <is>
          <t>قدري المنياوي</t>
        </is>
      </c>
      <c r="K123" s="32" t="n"/>
      <c r="L123" s="33">
        <f>IF(B123="","",IF(LEFT(TRIM(B123),2)="ال",MID(TRIM(B123),3,1),LEFT(TRIM(B123),1)))</f>
        <v/>
      </c>
      <c r="M123" s="28">
        <f>IF(B123="","",LEN(TRIM(B123))-LEN(SUBSTITUTE(TRIM(B123)," ",""))+1)</f>
        <v/>
      </c>
      <c r="N123" s="31" t="inlineStr">
        <is>
          <t>Draft</t>
        </is>
      </c>
    </row>
    <row r="124" ht="15" customHeight="1" s="21">
      <c r="A124" s="28" t="n">
        <v>123</v>
      </c>
      <c r="B124" s="29" t="inlineStr">
        <is>
          <t>اللي بالي بالك</t>
        </is>
      </c>
      <c r="C124" s="30" t="inlineStr">
        <is>
          <t>Elly Bali Balak</t>
        </is>
      </c>
      <c r="D124" s="31" t="inlineStr">
        <is>
          <t>Film</t>
        </is>
      </c>
      <c r="E124" s="31" t="n">
        <v>2003</v>
      </c>
      <c r="F124" s="28">
        <f>IF(E124="","",IF(E124&lt;1970,"Abyad w eswed",IF(E124&lt;2000,"70s-90s",IF(E124&lt;2015,"2000s","Gedeed"))))</f>
        <v/>
      </c>
      <c r="G124" s="31" t="inlineStr">
        <is>
          <t>Sahl</t>
        </is>
      </c>
      <c r="H124" s="30" t="inlineStr">
        <is>
          <t>Comedy</t>
        </is>
      </c>
      <c r="I124" s="32" t="inlineStr">
        <is>
          <t>محمد سعد</t>
        </is>
      </c>
      <c r="J124" s="32" t="inlineStr">
        <is>
          <t>اللمبي</t>
        </is>
      </c>
      <c r="K124" s="32" t="n"/>
      <c r="L124" s="33">
        <f>IF(B124="","",IF(LEFT(TRIM(B124),2)="ال",MID(TRIM(B124),3,1),LEFT(TRIM(B124),1)))</f>
        <v/>
      </c>
      <c r="M124" s="28">
        <f>IF(B124="","",LEN(TRIM(B124))-LEN(SUBSTITUTE(TRIM(B124)," ",""))+1)</f>
        <v/>
      </c>
      <c r="N124" s="31" t="inlineStr">
        <is>
          <t>Draft</t>
        </is>
      </c>
    </row>
    <row r="125" ht="15" customHeight="1" s="21">
      <c r="A125" s="28" t="n">
        <v>124</v>
      </c>
      <c r="B125" s="29" t="inlineStr">
        <is>
          <t>حرامية في تايلاند</t>
        </is>
      </c>
      <c r="C125" s="30" t="inlineStr">
        <is>
          <t>7arameya fi Thailand</t>
        </is>
      </c>
      <c r="D125" s="31" t="inlineStr">
        <is>
          <t>Film</t>
        </is>
      </c>
      <c r="E125" s="31" t="n">
        <v>2003</v>
      </c>
      <c r="F125" s="28">
        <f>IF(E125="","",IF(E125&lt;1970,"Abyad w eswed",IF(E125&lt;2000,"70s-90s",IF(E125&lt;2015,"2000s","Gedeed"))))</f>
        <v/>
      </c>
      <c r="G125" s="31" t="inlineStr">
        <is>
          <t>Wasat</t>
        </is>
      </c>
      <c r="H125" s="30" t="inlineStr">
        <is>
          <t>Comedy</t>
        </is>
      </c>
      <c r="I125" s="32" t="inlineStr">
        <is>
          <t>كريم عبد العزيز</t>
        </is>
      </c>
      <c r="J125" s="32" t="n"/>
      <c r="K125" s="32" t="n"/>
      <c r="L125" s="33">
        <f>IF(B125="","",IF(LEFT(TRIM(B125),2)="ال",MID(TRIM(B125),3,1),LEFT(TRIM(B125),1)))</f>
        <v/>
      </c>
      <c r="M125" s="28">
        <f>IF(B125="","",LEN(TRIM(B125))-LEN(SUBSTITUTE(TRIM(B125)," ",""))+1)</f>
        <v/>
      </c>
      <c r="N125" s="31" t="inlineStr">
        <is>
          <t>Draft</t>
        </is>
      </c>
    </row>
    <row r="126" ht="15" customHeight="1" s="21">
      <c r="A126" s="28" t="n">
        <v>125</v>
      </c>
      <c r="B126" s="29" t="inlineStr">
        <is>
          <t>سهر الليالي</t>
        </is>
      </c>
      <c r="C126" s="30" t="inlineStr">
        <is>
          <t>Sahar El Layaly</t>
        </is>
      </c>
      <c r="D126" s="31" t="inlineStr">
        <is>
          <t>Film</t>
        </is>
      </c>
      <c r="E126" s="31" t="n">
        <v>2003</v>
      </c>
      <c r="F126" s="28">
        <f>IF(E126="","",IF(E126&lt;1970,"Abyad w eswed",IF(E126&lt;2000,"70s-90s",IF(E126&lt;2015,"2000s","Gedeed"))))</f>
        <v/>
      </c>
      <c r="G126" s="31" t="inlineStr">
        <is>
          <t>Wasat</t>
        </is>
      </c>
      <c r="H126" s="30" t="inlineStr">
        <is>
          <t>Drama</t>
        </is>
      </c>
      <c r="I126" s="32" t="inlineStr">
        <is>
          <t>منى زكي</t>
        </is>
      </c>
      <c r="J126" s="32" t="n"/>
      <c r="K126" s="32" t="n"/>
      <c r="L126" s="33">
        <f>IF(B126="","",IF(LEFT(TRIM(B126),2)="ال",MID(TRIM(B126),3,1),LEFT(TRIM(B126),1)))</f>
        <v/>
      </c>
      <c r="M126" s="28">
        <f>IF(B126="","",LEN(TRIM(B126))-LEN(SUBSTITUTE(TRIM(B126)," ",""))+1)</f>
        <v/>
      </c>
      <c r="N126" s="31" t="inlineStr">
        <is>
          <t>Draft</t>
        </is>
      </c>
    </row>
    <row r="127" ht="15" customHeight="1" s="21">
      <c r="A127" s="28" t="n">
        <v>126</v>
      </c>
      <c r="B127" s="29" t="inlineStr">
        <is>
          <t>عايز حقي</t>
        </is>
      </c>
      <c r="C127" s="30" t="inlineStr">
        <is>
          <t>3ayez 7a2i</t>
        </is>
      </c>
      <c r="D127" s="31" t="inlineStr">
        <is>
          <t>Film</t>
        </is>
      </c>
      <c r="E127" s="31" t="n">
        <v>2003</v>
      </c>
      <c r="F127" s="28">
        <f>IF(E127="","",IF(E127&lt;1970,"Abyad w eswed",IF(E127&lt;2000,"70s-90s",IF(E127&lt;2015,"2000s","Gedeed"))))</f>
        <v/>
      </c>
      <c r="G127" s="31" t="inlineStr">
        <is>
          <t>Wasat</t>
        </is>
      </c>
      <c r="H127" s="30" t="inlineStr">
        <is>
          <t>Comedy</t>
        </is>
      </c>
      <c r="I127" s="32" t="inlineStr">
        <is>
          <t>هاني رمزي</t>
        </is>
      </c>
      <c r="J127" s="32" t="inlineStr">
        <is>
          <t>صابر</t>
        </is>
      </c>
      <c r="K127" s="32" t="n"/>
      <c r="L127" s="33">
        <f>IF(B127="","",IF(LEFT(TRIM(B127),2)="ال",MID(TRIM(B127),3,1),LEFT(TRIM(B127),1)))</f>
        <v/>
      </c>
      <c r="M127" s="28">
        <f>IF(B127="","",LEN(TRIM(B127))-LEN(SUBSTITUTE(TRIM(B127)," ",""))+1)</f>
        <v/>
      </c>
      <c r="N127" s="31" t="inlineStr">
        <is>
          <t>Draft</t>
        </is>
      </c>
    </row>
    <row r="128" ht="15" customHeight="1" s="21">
      <c r="A128" s="28" t="n">
        <v>127</v>
      </c>
      <c r="B128" s="29" t="inlineStr">
        <is>
          <t>عسكر في المعسكر</t>
        </is>
      </c>
      <c r="C128" s="30" t="inlineStr">
        <is>
          <t>3askar fel Mo3askar</t>
        </is>
      </c>
      <c r="D128" s="31" t="inlineStr">
        <is>
          <t>Film</t>
        </is>
      </c>
      <c r="E128" s="31" t="n">
        <v>2003</v>
      </c>
      <c r="F128" s="28">
        <f>IF(E128="","",IF(E128&lt;1970,"Abyad w eswed",IF(E128&lt;2000,"70s-90s",IF(E128&lt;2015,"2000s","Gedeed"))))</f>
        <v/>
      </c>
      <c r="G128" s="31" t="inlineStr">
        <is>
          <t>Wasat</t>
        </is>
      </c>
      <c r="H128" s="30" t="inlineStr">
        <is>
          <t>Comedy</t>
        </is>
      </c>
      <c r="I128" s="32" t="inlineStr">
        <is>
          <t>محمد هنيدي</t>
        </is>
      </c>
      <c r="J128" s="32" t="n"/>
      <c r="K128" s="32" t="n"/>
      <c r="L128" s="33">
        <f>IF(B128="","",IF(LEFT(TRIM(B128),2)="ال",MID(TRIM(B128),3,1),LEFT(TRIM(B128),1)))</f>
        <v/>
      </c>
      <c r="M128" s="28">
        <f>IF(B128="","",LEN(TRIM(B128))-LEN(SUBSTITUTE(TRIM(B128)," ",""))+1)</f>
        <v/>
      </c>
      <c r="N128" s="31" t="inlineStr">
        <is>
          <t>Draft</t>
        </is>
      </c>
    </row>
    <row r="129" ht="15" customHeight="1" s="21">
      <c r="A129" s="28" t="n">
        <v>128</v>
      </c>
      <c r="B129" s="29" t="inlineStr">
        <is>
          <t>ميدو مشاكل</t>
        </is>
      </c>
      <c r="C129" s="30" t="inlineStr">
        <is>
          <t>Meedo Mashakel</t>
        </is>
      </c>
      <c r="D129" s="31" t="inlineStr">
        <is>
          <t>Film</t>
        </is>
      </c>
      <c r="E129" s="31" t="n">
        <v>2003</v>
      </c>
      <c r="F129" s="28">
        <f>IF(E129="","",IF(E129&lt;1970,"Abyad w eswed",IF(E129&lt;2000,"70s-90s",IF(E129&lt;2015,"2000s","Gedeed"))))</f>
        <v/>
      </c>
      <c r="G129" s="31" t="inlineStr">
        <is>
          <t>Wasat</t>
        </is>
      </c>
      <c r="H129" s="30" t="inlineStr">
        <is>
          <t>Comedy</t>
        </is>
      </c>
      <c r="I129" s="32" t="inlineStr">
        <is>
          <t>أحمد حلمي</t>
        </is>
      </c>
      <c r="J129" s="32" t="inlineStr">
        <is>
          <t>ميدو</t>
        </is>
      </c>
      <c r="K129" s="32" t="n"/>
      <c r="L129" s="33">
        <f>IF(B129="","",IF(LEFT(TRIM(B129),2)="ال",MID(TRIM(B129),3,1),LEFT(TRIM(B129),1)))</f>
        <v/>
      </c>
      <c r="M129" s="28">
        <f>IF(B129="","",LEN(TRIM(B129))-LEN(SUBSTITUTE(TRIM(B129)," ",""))+1)</f>
        <v/>
      </c>
      <c r="N129" s="31" t="inlineStr">
        <is>
          <t>Draft</t>
        </is>
      </c>
    </row>
    <row r="130" ht="15" customHeight="1" s="21">
      <c r="A130" s="28" t="n">
        <v>129</v>
      </c>
      <c r="B130" s="29" t="inlineStr">
        <is>
          <t>الباشا تلميذ</t>
        </is>
      </c>
      <c r="C130" s="30" t="inlineStr">
        <is>
          <t>El Basha Telmeez</t>
        </is>
      </c>
      <c r="D130" s="31" t="inlineStr">
        <is>
          <t>Film</t>
        </is>
      </c>
      <c r="E130" s="31" t="n">
        <v>2004</v>
      </c>
      <c r="F130" s="28">
        <f>IF(E130="","",IF(E130&lt;1970,"Abyad w eswed",IF(E130&lt;2000,"70s-90s",IF(E130&lt;2015,"2000s","Gedeed"))))</f>
        <v/>
      </c>
      <c r="G130" s="31" t="inlineStr">
        <is>
          <t>Wasat</t>
        </is>
      </c>
      <c r="H130" s="30" t="inlineStr">
        <is>
          <t>Comedy</t>
        </is>
      </c>
      <c r="I130" s="32" t="inlineStr">
        <is>
          <t>كريم عبد العزيز</t>
        </is>
      </c>
      <c r="J130" s="32" t="n"/>
      <c r="K130" s="32" t="n"/>
      <c r="L130" s="33">
        <f>IF(B130="","",IF(LEFT(TRIM(B130),2)="ال",MID(TRIM(B130),3,1),LEFT(TRIM(B130),1)))</f>
        <v/>
      </c>
      <c r="M130" s="28">
        <f>IF(B130="","",LEN(TRIM(B130))-LEN(SUBSTITUTE(TRIM(B130)," ",""))+1)</f>
        <v/>
      </c>
      <c r="N130" s="31" t="inlineStr">
        <is>
          <t>Draft</t>
        </is>
      </c>
    </row>
    <row r="131" ht="15" customHeight="1" s="21">
      <c r="A131" s="28" t="n">
        <v>130</v>
      </c>
      <c r="B131" s="29" t="inlineStr">
        <is>
          <t>بحب السيما</t>
        </is>
      </c>
      <c r="C131" s="30" t="inlineStr">
        <is>
          <t>Ba7eb El Cima</t>
        </is>
      </c>
      <c r="D131" s="31" t="inlineStr">
        <is>
          <t>Film</t>
        </is>
      </c>
      <c r="E131" s="31" t="n">
        <v>2004</v>
      </c>
      <c r="F131" s="28">
        <f>IF(E131="","",IF(E131&lt;1970,"Abyad w eswed",IF(E131&lt;2000,"70s-90s",IF(E131&lt;2015,"2000s","Gedeed"))))</f>
        <v/>
      </c>
      <c r="G131" s="31" t="inlineStr">
        <is>
          <t>Sa3b</t>
        </is>
      </c>
      <c r="H131" s="30" t="inlineStr">
        <is>
          <t>Drama</t>
        </is>
      </c>
      <c r="I131" s="32" t="inlineStr">
        <is>
          <t>محمود حميدة</t>
        </is>
      </c>
      <c r="J131" s="32" t="n"/>
      <c r="K131" s="32" t="n"/>
      <c r="L131" s="33">
        <f>IF(B131="","",IF(LEFT(TRIM(B131),2)="ال",MID(TRIM(B131),3,1),LEFT(TRIM(B131),1)))</f>
        <v/>
      </c>
      <c r="M131" s="28">
        <f>IF(B131="","",LEN(TRIM(B131))-LEN(SUBSTITUTE(TRIM(B131)," ",""))+1)</f>
        <v/>
      </c>
      <c r="N131" s="31" t="inlineStr">
        <is>
          <t>Draft</t>
        </is>
      </c>
    </row>
    <row r="132" ht="15" customHeight="1" s="21">
      <c r="A132" s="28" t="n">
        <v>131</v>
      </c>
      <c r="B132" s="29" t="inlineStr">
        <is>
          <t>تيتو</t>
        </is>
      </c>
      <c r="C132" s="30" t="inlineStr">
        <is>
          <t>Tito</t>
        </is>
      </c>
      <c r="D132" s="31" t="inlineStr">
        <is>
          <t>Film</t>
        </is>
      </c>
      <c r="E132" s="31" t="n">
        <v>2004</v>
      </c>
      <c r="F132" s="28">
        <f>IF(E132="","",IF(E132&lt;1970,"Abyad w eswed",IF(E132&lt;2000,"70s-90s",IF(E132&lt;2015,"2000s","Gedeed"))))</f>
        <v/>
      </c>
      <c r="G132" s="31" t="inlineStr">
        <is>
          <t>Sahl</t>
        </is>
      </c>
      <c r="H132" s="30" t="inlineStr">
        <is>
          <t>Action</t>
        </is>
      </c>
      <c r="I132" s="32" t="inlineStr">
        <is>
          <t>أحمد السقا</t>
        </is>
      </c>
      <c r="J132" s="32" t="inlineStr">
        <is>
          <t>تيتو</t>
        </is>
      </c>
      <c r="K132" s="32" t="n"/>
      <c r="L132" s="33">
        <f>IF(B132="","",IF(LEFT(TRIM(B132),2)="ال",MID(TRIM(B132),3,1),LEFT(TRIM(B132),1)))</f>
        <v/>
      </c>
      <c r="M132" s="28">
        <f>IF(B132="","",LEN(TRIM(B132))-LEN(SUBSTITUTE(TRIM(B132)," ",""))+1)</f>
        <v/>
      </c>
      <c r="N132" s="31" t="inlineStr">
        <is>
          <t>Draft</t>
        </is>
      </c>
    </row>
    <row r="133" ht="15" customHeight="1" s="21">
      <c r="A133" s="28" t="n">
        <v>132</v>
      </c>
      <c r="B133" s="29" t="inlineStr">
        <is>
          <t>خالتي فرنسا</t>
        </is>
      </c>
      <c r="C133" s="30" t="inlineStr">
        <is>
          <t>Khalty Faransa</t>
        </is>
      </c>
      <c r="D133" s="31" t="inlineStr">
        <is>
          <t>Film</t>
        </is>
      </c>
      <c r="E133" s="31" t="n">
        <v>2004</v>
      </c>
      <c r="F133" s="28">
        <f>IF(E133="","",IF(E133&lt;1970,"Abyad w eswed",IF(E133&lt;2000,"70s-90s",IF(E133&lt;2015,"2000s","Gedeed"))))</f>
        <v/>
      </c>
      <c r="G133" s="31" t="inlineStr">
        <is>
          <t>Wasat</t>
        </is>
      </c>
      <c r="H133" s="30" t="inlineStr">
        <is>
          <t>Comedy</t>
        </is>
      </c>
      <c r="I133" s="32" t="inlineStr">
        <is>
          <t>عبلة كامل</t>
        </is>
      </c>
      <c r="J133" s="32" t="inlineStr">
        <is>
          <t>فرنسا</t>
        </is>
      </c>
      <c r="K133" s="32" t="n"/>
      <c r="L133" s="33">
        <f>IF(B133="","",IF(LEFT(TRIM(B133),2)="ال",MID(TRIM(B133),3,1),LEFT(TRIM(B133),1)))</f>
        <v/>
      </c>
      <c r="M133" s="28">
        <f>IF(B133="","",LEN(TRIM(B133))-LEN(SUBSTITUTE(TRIM(B133)," ",""))+1)</f>
        <v/>
      </c>
      <c r="N133" s="31" t="inlineStr">
        <is>
          <t>Draft</t>
        </is>
      </c>
    </row>
    <row r="134" ht="15" customHeight="1" s="21">
      <c r="A134" s="28" t="n">
        <v>133</v>
      </c>
      <c r="B134" s="29" t="inlineStr">
        <is>
          <t>عريس من جهة أمنية</t>
        </is>
      </c>
      <c r="C134" s="30" t="inlineStr">
        <is>
          <t>3arees Men Gaha Amneya</t>
        </is>
      </c>
      <c r="D134" s="31" t="inlineStr">
        <is>
          <t>Film</t>
        </is>
      </c>
      <c r="E134" s="31" t="n">
        <v>2004</v>
      </c>
      <c r="F134" s="28">
        <f>IF(E134="","",IF(E134&lt;1970,"Abyad w eswed",IF(E134&lt;2000,"70s-90s",IF(E134&lt;2015,"2000s","Gedeed"))))</f>
        <v/>
      </c>
      <c r="G134" s="31" t="inlineStr">
        <is>
          <t>Wasat</t>
        </is>
      </c>
      <c r="H134" s="30" t="inlineStr">
        <is>
          <t>Comedy</t>
        </is>
      </c>
      <c r="I134" s="32" t="inlineStr">
        <is>
          <t>عادل إمام</t>
        </is>
      </c>
      <c r="J134" s="32" t="n"/>
      <c r="K134" s="32" t="n"/>
      <c r="L134" s="33">
        <f>IF(B134="","",IF(LEFT(TRIM(B134),2)="ال",MID(TRIM(B134),3,1),LEFT(TRIM(B134),1)))</f>
        <v/>
      </c>
      <c r="M134" s="28">
        <f>IF(B134="","",LEN(TRIM(B134))-LEN(SUBSTITUTE(TRIM(B134)," ",""))+1)</f>
        <v/>
      </c>
      <c r="N134" s="31" t="inlineStr">
        <is>
          <t>Draft</t>
        </is>
      </c>
    </row>
    <row r="135" ht="15" customHeight="1" s="21">
      <c r="A135" s="28" t="n">
        <v>134</v>
      </c>
      <c r="B135" s="29" t="inlineStr">
        <is>
          <t>عوكل</t>
        </is>
      </c>
      <c r="C135" s="30" t="inlineStr">
        <is>
          <t>3awkal</t>
        </is>
      </c>
      <c r="D135" s="31" t="inlineStr">
        <is>
          <t>Film</t>
        </is>
      </c>
      <c r="E135" s="31" t="n">
        <v>2004</v>
      </c>
      <c r="F135" s="28">
        <f>IF(E135="","",IF(E135&lt;1970,"Abyad w eswed",IF(E135&lt;2000,"70s-90s",IF(E135&lt;2015,"2000s","Gedeed"))))</f>
        <v/>
      </c>
      <c r="G135" s="31" t="inlineStr">
        <is>
          <t>Sahl</t>
        </is>
      </c>
      <c r="H135" s="30" t="inlineStr">
        <is>
          <t>Comedy</t>
        </is>
      </c>
      <c r="I135" s="32" t="inlineStr">
        <is>
          <t>محمد سعد</t>
        </is>
      </c>
      <c r="J135" s="32" t="inlineStr">
        <is>
          <t>عوكل</t>
        </is>
      </c>
      <c r="K135" s="32" t="n"/>
      <c r="L135" s="33">
        <f>IF(B135="","",IF(LEFT(TRIM(B135),2)="ال",MID(TRIM(B135),3,1),LEFT(TRIM(B135),1)))</f>
        <v/>
      </c>
      <c r="M135" s="28">
        <f>IF(B135="","",LEN(TRIM(B135))-LEN(SUBSTITUTE(TRIM(B135)," ",""))+1)</f>
        <v/>
      </c>
      <c r="N135" s="31" t="inlineStr">
        <is>
          <t>Draft</t>
        </is>
      </c>
    </row>
    <row r="136" ht="15" customHeight="1" s="21">
      <c r="A136" s="28" t="n">
        <v>135</v>
      </c>
      <c r="B136" s="29" t="inlineStr">
        <is>
          <t>غبي منه فيه</t>
        </is>
      </c>
      <c r="C136" s="30" t="inlineStr">
        <is>
          <t>Ghaby Meno Feeh</t>
        </is>
      </c>
      <c r="D136" s="31" t="inlineStr">
        <is>
          <t>Film</t>
        </is>
      </c>
      <c r="E136" s="31" t="n">
        <v>2004</v>
      </c>
      <c r="F136" s="28">
        <f>IF(E136="","",IF(E136&lt;1970,"Abyad w eswed",IF(E136&lt;2000,"70s-90s",IF(E136&lt;2015,"2000s","Gedeed"))))</f>
        <v/>
      </c>
      <c r="G136" s="31" t="inlineStr">
        <is>
          <t>Sahl</t>
        </is>
      </c>
      <c r="H136" s="30" t="inlineStr">
        <is>
          <t>Comedy</t>
        </is>
      </c>
      <c r="I136" s="32" t="inlineStr">
        <is>
          <t>هاني رمزي</t>
        </is>
      </c>
      <c r="J136" s="32" t="n"/>
      <c r="K136" s="32" t="n"/>
      <c r="L136" s="33">
        <f>IF(B136="","",IF(LEFT(TRIM(B136),2)="ال",MID(TRIM(B136),3,1),LEFT(TRIM(B136),1)))</f>
        <v/>
      </c>
      <c r="M136" s="28">
        <f>IF(B136="","",LEN(TRIM(B136))-LEN(SUBSTITUTE(TRIM(B136)," ",""))+1)</f>
        <v/>
      </c>
      <c r="N136" s="31" t="inlineStr">
        <is>
          <t>Draft</t>
        </is>
      </c>
    </row>
    <row r="137" ht="15" customHeight="1" s="21">
      <c r="A137" s="28" t="n">
        <v>136</v>
      </c>
      <c r="B137" s="29" t="inlineStr">
        <is>
          <t>فول الصين العظيم</t>
        </is>
      </c>
      <c r="C137" s="30" t="inlineStr">
        <is>
          <t>Fool El Seen El 3azeem</t>
        </is>
      </c>
      <c r="D137" s="31" t="inlineStr">
        <is>
          <t>Film</t>
        </is>
      </c>
      <c r="E137" s="31" t="n">
        <v>2004</v>
      </c>
      <c r="F137" s="28">
        <f>IF(E137="","",IF(E137&lt;1970,"Abyad w eswed",IF(E137&lt;2000,"70s-90s",IF(E137&lt;2015,"2000s","Gedeed"))))</f>
        <v/>
      </c>
      <c r="G137" s="31" t="inlineStr">
        <is>
          <t>Wasat</t>
        </is>
      </c>
      <c r="H137" s="30" t="inlineStr">
        <is>
          <t>Comedy</t>
        </is>
      </c>
      <c r="I137" s="32" t="inlineStr">
        <is>
          <t>محمد هنيدي</t>
        </is>
      </c>
      <c r="J137" s="32" t="inlineStr">
        <is>
          <t>محيي</t>
        </is>
      </c>
      <c r="K137" s="32" t="n"/>
      <c r="L137" s="33">
        <f>IF(B137="","",IF(LEFT(TRIM(B137),2)="ال",MID(TRIM(B137),3,1),LEFT(TRIM(B137),1)))</f>
        <v/>
      </c>
      <c r="M137" s="28">
        <f>IF(B137="","",LEN(TRIM(B137))-LEN(SUBSTITUTE(TRIM(B137)," ",""))+1)</f>
        <v/>
      </c>
      <c r="N137" s="31" t="inlineStr">
        <is>
          <t>Draft</t>
        </is>
      </c>
    </row>
    <row r="138" ht="15" customHeight="1" s="21">
      <c r="A138" s="28" t="n">
        <v>137</v>
      </c>
      <c r="B138" s="29" t="inlineStr">
        <is>
          <t>أبو علي</t>
        </is>
      </c>
      <c r="C138" s="30" t="inlineStr">
        <is>
          <t>Abo 3ali</t>
        </is>
      </c>
      <c r="D138" s="31" t="inlineStr">
        <is>
          <t>Film</t>
        </is>
      </c>
      <c r="E138" s="31" t="n">
        <v>2005</v>
      </c>
      <c r="F138" s="28">
        <f>IF(E138="","",IF(E138&lt;1970,"Abyad w eswed",IF(E138&lt;2000,"70s-90s",IF(E138&lt;2015,"2000s","Gedeed"))))</f>
        <v/>
      </c>
      <c r="G138" s="31" t="inlineStr">
        <is>
          <t>Wasat</t>
        </is>
      </c>
      <c r="H138" s="30" t="inlineStr">
        <is>
          <t>Action</t>
        </is>
      </c>
      <c r="I138" s="32" t="inlineStr">
        <is>
          <t>كريم عبد العزيز</t>
        </is>
      </c>
      <c r="J138" s="32" t="n"/>
      <c r="K138" s="32" t="n"/>
      <c r="L138" s="33">
        <f>IF(B138="","",IF(LEFT(TRIM(B138),2)="ال",MID(TRIM(B138),3,1),LEFT(TRIM(B138),1)))</f>
        <v/>
      </c>
      <c r="M138" s="28">
        <f>IF(B138="","",LEN(TRIM(B138))-LEN(SUBSTITUTE(TRIM(B138)," ",""))+1)</f>
        <v/>
      </c>
      <c r="N138" s="31" t="inlineStr">
        <is>
          <t>Draft</t>
        </is>
      </c>
    </row>
    <row r="139" ht="15" customHeight="1" s="21">
      <c r="A139" s="28" t="n">
        <v>138</v>
      </c>
      <c r="B139" s="29" t="inlineStr">
        <is>
          <t>الحاسة السابعة</t>
        </is>
      </c>
      <c r="C139" s="30" t="inlineStr">
        <is>
          <t>El 7assa El Sab3a</t>
        </is>
      </c>
      <c r="D139" s="31" t="inlineStr">
        <is>
          <t>Film</t>
        </is>
      </c>
      <c r="E139" s="31" t="n">
        <v>2005</v>
      </c>
      <c r="F139" s="28">
        <f>IF(E139="","",IF(E139&lt;1970,"Abyad w eswed",IF(E139&lt;2000,"70s-90s",IF(E139&lt;2015,"2000s","Gedeed"))))</f>
        <v/>
      </c>
      <c r="G139" s="31" t="inlineStr">
        <is>
          <t>Wasat</t>
        </is>
      </c>
      <c r="H139" s="30" t="inlineStr">
        <is>
          <t>Comedy</t>
        </is>
      </c>
      <c r="I139" s="32" t="inlineStr">
        <is>
          <t>أحمد الفيشاوي</t>
        </is>
      </c>
      <c r="J139" s="32" t="n"/>
      <c r="K139" s="32" t="n"/>
      <c r="L139" s="33">
        <f>IF(B139="","",IF(LEFT(TRIM(B139),2)="ال",MID(TRIM(B139),3,1),LEFT(TRIM(B139),1)))</f>
        <v/>
      </c>
      <c r="M139" s="28">
        <f>IF(B139="","",LEN(TRIM(B139))-LEN(SUBSTITUTE(TRIM(B139)," ",""))+1)</f>
        <v/>
      </c>
      <c r="N139" s="31" t="inlineStr">
        <is>
          <t>Draft</t>
        </is>
      </c>
    </row>
    <row r="140" ht="15" customHeight="1" s="21">
      <c r="A140" s="28" t="n">
        <v>139</v>
      </c>
      <c r="B140" s="29" t="inlineStr">
        <is>
          <t>السفارة في العمارة</t>
        </is>
      </c>
      <c r="C140" s="30" t="inlineStr">
        <is>
          <t>El Sefara fel 3emara</t>
        </is>
      </c>
      <c r="D140" s="31" t="inlineStr">
        <is>
          <t>Film</t>
        </is>
      </c>
      <c r="E140" s="31" t="n">
        <v>2005</v>
      </c>
      <c r="F140" s="28">
        <f>IF(E140="","",IF(E140&lt;1970,"Abyad w eswed",IF(E140&lt;2000,"70s-90s",IF(E140&lt;2015,"2000s","Gedeed"))))</f>
        <v/>
      </c>
      <c r="G140" s="31" t="inlineStr">
        <is>
          <t>Sahl</t>
        </is>
      </c>
      <c r="H140" s="30" t="inlineStr">
        <is>
          <t>Comedy</t>
        </is>
      </c>
      <c r="I140" s="32" t="inlineStr">
        <is>
          <t>عادل إمام</t>
        </is>
      </c>
      <c r="J140" s="32" t="inlineStr">
        <is>
          <t>شريف خيري</t>
        </is>
      </c>
      <c r="K140" s="32" t="n"/>
      <c r="L140" s="33">
        <f>IF(B140="","",IF(LEFT(TRIM(B140),2)="ال",MID(TRIM(B140),3,1),LEFT(TRIM(B140),1)))</f>
        <v/>
      </c>
      <c r="M140" s="28">
        <f>IF(B140="","",LEN(TRIM(B140))-LEN(SUBSTITUTE(TRIM(B140)," ",""))+1)</f>
        <v/>
      </c>
      <c r="N140" s="31" t="inlineStr">
        <is>
          <t>Draft</t>
        </is>
      </c>
    </row>
    <row r="141" ht="15" customHeight="1" s="21">
      <c r="A141" s="28" t="n">
        <v>140</v>
      </c>
      <c r="B141" s="29" t="inlineStr">
        <is>
          <t>بوحة</t>
        </is>
      </c>
      <c r="C141" s="30" t="inlineStr">
        <is>
          <t>Bo7a</t>
        </is>
      </c>
      <c r="D141" s="31" t="inlineStr">
        <is>
          <t>Film</t>
        </is>
      </c>
      <c r="E141" s="31" t="n">
        <v>2005</v>
      </c>
      <c r="F141" s="28">
        <f>IF(E141="","",IF(E141&lt;1970,"Abyad w eswed",IF(E141&lt;2000,"70s-90s",IF(E141&lt;2015,"2000s","Gedeed"))))</f>
        <v/>
      </c>
      <c r="G141" s="31" t="inlineStr">
        <is>
          <t>Sahl</t>
        </is>
      </c>
      <c r="H141" s="30" t="inlineStr">
        <is>
          <t>Comedy</t>
        </is>
      </c>
      <c r="I141" s="32" t="inlineStr">
        <is>
          <t>محمد سعد</t>
        </is>
      </c>
      <c r="J141" s="32" t="inlineStr">
        <is>
          <t>بوحة</t>
        </is>
      </c>
      <c r="K141" s="32" t="n"/>
      <c r="L141" s="33">
        <f>IF(B141="","",IF(LEFT(TRIM(B141),2)="ال",MID(TRIM(B141),3,1),LEFT(TRIM(B141),1)))</f>
        <v/>
      </c>
      <c r="M141" s="28">
        <f>IF(B141="","",LEN(TRIM(B141))-LEN(SUBSTITUTE(TRIM(B141)," ",""))+1)</f>
        <v/>
      </c>
      <c r="N141" s="31" t="inlineStr">
        <is>
          <t>Draft</t>
        </is>
      </c>
    </row>
    <row r="142" ht="15" customHeight="1" s="21">
      <c r="A142" s="28" t="n">
        <v>141</v>
      </c>
      <c r="B142" s="29" t="inlineStr">
        <is>
          <t>حرب أطاليا</t>
        </is>
      </c>
      <c r="C142" s="30" t="inlineStr">
        <is>
          <t>7arb Italia</t>
        </is>
      </c>
      <c r="D142" s="31" t="inlineStr">
        <is>
          <t>Film</t>
        </is>
      </c>
      <c r="E142" s="31" t="n">
        <v>2005</v>
      </c>
      <c r="F142" s="28">
        <f>IF(E142="","",IF(E142&lt;1970,"Abyad w eswed",IF(E142&lt;2000,"70s-90s",IF(E142&lt;2015,"2000s","Gedeed"))))</f>
        <v/>
      </c>
      <c r="G142" s="31" t="inlineStr">
        <is>
          <t>Wasat</t>
        </is>
      </c>
      <c r="H142" s="30" t="inlineStr">
        <is>
          <t>Action</t>
        </is>
      </c>
      <c r="I142" s="32" t="inlineStr">
        <is>
          <t>أحمد السقا</t>
        </is>
      </c>
      <c r="J142" s="32" t="n"/>
      <c r="K142" s="32" t="n"/>
      <c r="L142" s="33">
        <f>IF(B142="","",IF(LEFT(TRIM(B142),2)="ال",MID(TRIM(B142),3,1),LEFT(TRIM(B142),1)))</f>
        <v/>
      </c>
      <c r="M142" s="28">
        <f>IF(B142="","",LEN(TRIM(B142))-LEN(SUBSTITUTE(TRIM(B142)," ",""))+1)</f>
        <v/>
      </c>
      <c r="N142" s="31" t="inlineStr">
        <is>
          <t>Draft</t>
        </is>
      </c>
    </row>
    <row r="143" ht="15" customHeight="1" s="21">
      <c r="A143" s="28" t="n">
        <v>142</v>
      </c>
      <c r="B143" s="29" t="inlineStr">
        <is>
          <t>زكي شان</t>
        </is>
      </c>
      <c r="C143" s="30" t="inlineStr">
        <is>
          <t>Zaki Chan</t>
        </is>
      </c>
      <c r="D143" s="31" t="inlineStr">
        <is>
          <t>Film</t>
        </is>
      </c>
      <c r="E143" s="31" t="n">
        <v>2005</v>
      </c>
      <c r="F143" s="28">
        <f>IF(E143="","",IF(E143&lt;1970,"Abyad w eswed",IF(E143&lt;2000,"70s-90s",IF(E143&lt;2015,"2000s","Gedeed"))))</f>
        <v/>
      </c>
      <c r="G143" s="31" t="inlineStr">
        <is>
          <t>Wasat</t>
        </is>
      </c>
      <c r="H143" s="30" t="inlineStr">
        <is>
          <t>Comedy</t>
        </is>
      </c>
      <c r="I143" s="32" t="inlineStr">
        <is>
          <t>أحمد حلمي</t>
        </is>
      </c>
      <c r="J143" s="32" t="inlineStr">
        <is>
          <t>زكي</t>
        </is>
      </c>
      <c r="K143" s="32" t="n"/>
      <c r="L143" s="33">
        <f>IF(B143="","",IF(LEFT(TRIM(B143),2)="ال",MID(TRIM(B143),3,1),LEFT(TRIM(B143),1)))</f>
        <v/>
      </c>
      <c r="M143" s="28">
        <f>IF(B143="","",LEN(TRIM(B143))-LEN(SUBSTITUTE(TRIM(B143)," ",""))+1)</f>
        <v/>
      </c>
      <c r="N143" s="31" t="inlineStr">
        <is>
          <t>Draft</t>
        </is>
      </c>
    </row>
    <row r="144" ht="15" customHeight="1" s="21">
      <c r="A144" s="28" t="n">
        <v>143</v>
      </c>
      <c r="B144" s="29" t="inlineStr">
        <is>
          <t>سيد العاطفي</t>
        </is>
      </c>
      <c r="C144" s="30" t="inlineStr">
        <is>
          <t>Sayed El 3atefy</t>
        </is>
      </c>
      <c r="D144" s="31" t="inlineStr">
        <is>
          <t>Film</t>
        </is>
      </c>
      <c r="E144" s="31" t="n">
        <v>2005</v>
      </c>
      <c r="F144" s="28">
        <f>IF(E144="","",IF(E144&lt;1970,"Abyad w eswed",IF(E144&lt;2000,"70s-90s",IF(E144&lt;2015,"2000s","Gedeed"))))</f>
        <v/>
      </c>
      <c r="G144" s="31" t="inlineStr">
        <is>
          <t>Wasat</t>
        </is>
      </c>
      <c r="H144" s="30" t="inlineStr">
        <is>
          <t>Comedy</t>
        </is>
      </c>
      <c r="I144" s="32" t="inlineStr">
        <is>
          <t>تامر حسني</t>
        </is>
      </c>
      <c r="J144" s="32" t="inlineStr">
        <is>
          <t>سيد</t>
        </is>
      </c>
      <c r="K144" s="32" t="n"/>
      <c r="L144" s="33">
        <f>IF(B144="","",IF(LEFT(TRIM(B144),2)="ال",MID(TRIM(B144),3,1),LEFT(TRIM(B144),1)))</f>
        <v/>
      </c>
      <c r="M144" s="28">
        <f>IF(B144="","",LEN(TRIM(B144))-LEN(SUBSTITUTE(TRIM(B144)," ",""))+1)</f>
        <v/>
      </c>
      <c r="N144" s="31" t="inlineStr">
        <is>
          <t>Draft</t>
        </is>
      </c>
    </row>
    <row r="145" ht="15" customHeight="1" s="21">
      <c r="A145" s="28" t="n">
        <v>144</v>
      </c>
      <c r="B145" s="29" t="inlineStr">
        <is>
          <t>ليلة سقوط بغداد</t>
        </is>
      </c>
      <c r="C145" s="30" t="inlineStr">
        <is>
          <t>Leilet So2out Baghdad</t>
        </is>
      </c>
      <c r="D145" s="31" t="inlineStr">
        <is>
          <t>Film</t>
        </is>
      </c>
      <c r="E145" s="31" t="n">
        <v>2005</v>
      </c>
      <c r="F145" s="28">
        <f>IF(E145="","",IF(E145&lt;1970,"Abyad w eswed",IF(E145&lt;2000,"70s-90s",IF(E145&lt;2015,"2000s","Gedeed"))))</f>
        <v/>
      </c>
      <c r="G145" s="31" t="inlineStr">
        <is>
          <t>Wasat</t>
        </is>
      </c>
      <c r="H145" s="30" t="inlineStr">
        <is>
          <t>Comedy</t>
        </is>
      </c>
      <c r="I145" s="32" t="inlineStr">
        <is>
          <t>أحمد عيد</t>
        </is>
      </c>
      <c r="J145" s="32" t="n"/>
      <c r="K145" s="32" t="n"/>
      <c r="L145" s="33">
        <f>IF(B145="","",IF(LEFT(TRIM(B145),2)="ال",MID(TRIM(B145),3,1),LEFT(TRIM(B145),1)))</f>
        <v/>
      </c>
      <c r="M145" s="28">
        <f>IF(B145="","",LEN(TRIM(B145))-LEN(SUBSTITUTE(TRIM(B145)," ",""))+1)</f>
        <v/>
      </c>
      <c r="N145" s="31" t="inlineStr">
        <is>
          <t>Draft</t>
        </is>
      </c>
    </row>
    <row r="146" ht="15" customHeight="1" s="21">
      <c r="A146" s="28" t="n">
        <v>145</v>
      </c>
      <c r="B146" s="29" t="inlineStr">
        <is>
          <t>جعلتني مجرماً</t>
        </is>
      </c>
      <c r="C146" s="30" t="inlineStr">
        <is>
          <t>Ga3altany Mogreman</t>
        </is>
      </c>
      <c r="D146" s="31" t="inlineStr">
        <is>
          <t>Film</t>
        </is>
      </c>
      <c r="E146" s="31" t="n">
        <v>2006</v>
      </c>
      <c r="F146" s="28">
        <f>IF(E146="","",IF(E146&lt;1970,"Abyad w eswed",IF(E146&lt;2000,"70s-90s",IF(E146&lt;2015,"2000s","Gedeed"))))</f>
        <v/>
      </c>
      <c r="G146" s="31" t="inlineStr">
        <is>
          <t>Wasat</t>
        </is>
      </c>
      <c r="H146" s="30" t="inlineStr">
        <is>
          <t>Comedy</t>
        </is>
      </c>
      <c r="I146" s="32" t="inlineStr">
        <is>
          <t>أحمد حلمي</t>
        </is>
      </c>
      <c r="J146" s="32" t="n"/>
      <c r="K146" s="32" t="n"/>
      <c r="L146" s="33">
        <f>IF(B146="","",IF(LEFT(TRIM(B146),2)="ال",MID(TRIM(B146),3,1),LEFT(TRIM(B146),1)))</f>
        <v/>
      </c>
      <c r="M146" s="28">
        <f>IF(B146="","",LEN(TRIM(B146))-LEN(SUBSTITUTE(TRIM(B146)," ",""))+1)</f>
        <v/>
      </c>
      <c r="N146" s="31" t="inlineStr">
        <is>
          <t>Draft</t>
        </is>
      </c>
    </row>
    <row r="147" ht="15" customHeight="1" s="21">
      <c r="A147" s="28" t="n">
        <v>146</v>
      </c>
      <c r="B147" s="29" t="inlineStr">
        <is>
          <t>حليم</t>
        </is>
      </c>
      <c r="C147" s="30" t="inlineStr">
        <is>
          <t>7aleem</t>
        </is>
      </c>
      <c r="D147" s="31" t="inlineStr">
        <is>
          <t>Film</t>
        </is>
      </c>
      <c r="E147" s="31" t="n">
        <v>2006</v>
      </c>
      <c r="F147" s="28">
        <f>IF(E147="","",IF(E147&lt;1970,"Abyad w eswed",IF(E147&lt;2000,"70s-90s",IF(E147&lt;2015,"2000s","Gedeed"))))</f>
        <v/>
      </c>
      <c r="G147" s="31" t="inlineStr">
        <is>
          <t>Wasat</t>
        </is>
      </c>
      <c r="H147" s="30" t="inlineStr">
        <is>
          <t>Ta2reekhy</t>
        </is>
      </c>
      <c r="I147" s="32" t="inlineStr">
        <is>
          <t>أحمد زكي</t>
        </is>
      </c>
      <c r="J147" s="32" t="inlineStr">
        <is>
          <t>عبد الحليم حافظ</t>
        </is>
      </c>
      <c r="K147" s="32" t="n"/>
      <c r="L147" s="33">
        <f>IF(B147="","",IF(LEFT(TRIM(B147),2)="ال",MID(TRIM(B147),3,1),LEFT(TRIM(B147),1)))</f>
        <v/>
      </c>
      <c r="M147" s="28">
        <f>IF(B147="","",LEN(TRIM(B147))-LEN(SUBSTITUTE(TRIM(B147)," ",""))+1)</f>
        <v/>
      </c>
      <c r="N147" s="31" t="inlineStr">
        <is>
          <t>Draft</t>
        </is>
      </c>
    </row>
    <row r="148" ht="15" customHeight="1" s="21">
      <c r="A148" s="28" t="n">
        <v>147</v>
      </c>
      <c r="B148" s="29" t="inlineStr">
        <is>
          <t>ظاظا</t>
        </is>
      </c>
      <c r="C148" s="30" t="inlineStr">
        <is>
          <t>Zaza</t>
        </is>
      </c>
      <c r="D148" s="31" t="inlineStr">
        <is>
          <t>Film</t>
        </is>
      </c>
      <c r="E148" s="31" t="n">
        <v>2006</v>
      </c>
      <c r="F148" s="28">
        <f>IF(E148="","",IF(E148&lt;1970,"Abyad w eswed",IF(E148&lt;2000,"70s-90s",IF(E148&lt;2015,"2000s","Gedeed"))))</f>
        <v/>
      </c>
      <c r="G148" s="31" t="inlineStr">
        <is>
          <t>Wasat</t>
        </is>
      </c>
      <c r="H148" s="30" t="inlineStr">
        <is>
          <t>Comedy</t>
        </is>
      </c>
      <c r="I148" s="32" t="inlineStr">
        <is>
          <t>هاني رمزي</t>
        </is>
      </c>
      <c r="J148" s="32" t="inlineStr">
        <is>
          <t>ظاظا</t>
        </is>
      </c>
      <c r="K148" s="32" t="n"/>
      <c r="L148" s="33">
        <f>IF(B148="","",IF(LEFT(TRIM(B148),2)="ال",MID(TRIM(B148),3,1),LEFT(TRIM(B148),1)))</f>
        <v/>
      </c>
      <c r="M148" s="28">
        <f>IF(B148="","",LEN(TRIM(B148))-LEN(SUBSTITUTE(TRIM(B148)," ",""))+1)</f>
        <v/>
      </c>
      <c r="N148" s="31" t="inlineStr">
        <is>
          <t>Draft</t>
        </is>
      </c>
    </row>
    <row r="149" ht="15" customHeight="1" s="21">
      <c r="A149" s="28" t="n">
        <v>148</v>
      </c>
      <c r="B149" s="29" t="inlineStr">
        <is>
          <t>ظرف طارق</t>
        </is>
      </c>
      <c r="C149" s="30" t="inlineStr">
        <is>
          <t>Zarf Tare2</t>
        </is>
      </c>
      <c r="D149" s="31" t="inlineStr">
        <is>
          <t>Film</t>
        </is>
      </c>
      <c r="E149" s="31" t="n">
        <v>2006</v>
      </c>
      <c r="F149" s="28">
        <f>IF(E149="","",IF(E149&lt;1970,"Abyad w eswed",IF(E149&lt;2000,"70s-90s",IF(E149&lt;2015,"2000s","Gedeed"))))</f>
        <v/>
      </c>
      <c r="G149" s="31" t="inlineStr">
        <is>
          <t>Wasat</t>
        </is>
      </c>
      <c r="H149" s="30" t="inlineStr">
        <is>
          <t>Comedy</t>
        </is>
      </c>
      <c r="I149" s="32" t="inlineStr">
        <is>
          <t>أحمد حلمي</t>
        </is>
      </c>
      <c r="J149" s="32" t="inlineStr">
        <is>
          <t>طارق</t>
        </is>
      </c>
      <c r="K149" s="32" t="n"/>
      <c r="L149" s="33">
        <f>IF(B149="","",IF(LEFT(TRIM(B149),2)="ال",MID(TRIM(B149),3,1),LEFT(TRIM(B149),1)))</f>
        <v/>
      </c>
      <c r="M149" s="28">
        <f>IF(B149="","",LEN(TRIM(B149))-LEN(SUBSTITUTE(TRIM(B149)," ",""))+1)</f>
        <v/>
      </c>
      <c r="N149" s="31" t="inlineStr">
        <is>
          <t>Draft</t>
        </is>
      </c>
    </row>
    <row r="150" ht="15" customHeight="1" s="21">
      <c r="A150" s="28" t="n">
        <v>149</v>
      </c>
      <c r="B150" s="29" t="inlineStr">
        <is>
          <t>عمارة يعقوبيان</t>
        </is>
      </c>
      <c r="C150" s="30" t="inlineStr">
        <is>
          <t>3emaret Ya3qoubian</t>
        </is>
      </c>
      <c r="D150" s="31" t="inlineStr">
        <is>
          <t>Film</t>
        </is>
      </c>
      <c r="E150" s="31" t="n">
        <v>2006</v>
      </c>
      <c r="F150" s="28">
        <f>IF(E150="","",IF(E150&lt;1970,"Abyad w eswed",IF(E150&lt;2000,"70s-90s",IF(E150&lt;2015,"2000s","Gedeed"))))</f>
        <v/>
      </c>
      <c r="G150" s="31" t="inlineStr">
        <is>
          <t>Wasat</t>
        </is>
      </c>
      <c r="H150" s="30" t="inlineStr">
        <is>
          <t>Drama</t>
        </is>
      </c>
      <c r="I150" s="32" t="inlineStr">
        <is>
          <t>عادل إمام</t>
        </is>
      </c>
      <c r="J150" s="32" t="inlineStr">
        <is>
          <t>زكي الدسوقي</t>
        </is>
      </c>
      <c r="K150" s="32" t="n"/>
      <c r="L150" s="33">
        <f>IF(B150="","",IF(LEFT(TRIM(B150),2)="ال",MID(TRIM(B150),3,1),LEFT(TRIM(B150),1)))</f>
        <v/>
      </c>
      <c r="M150" s="28">
        <f>IF(B150="","",LEN(TRIM(B150))-LEN(SUBSTITUTE(TRIM(B150)," ",""))+1)</f>
        <v/>
      </c>
      <c r="N150" s="31" t="inlineStr">
        <is>
          <t>Draft</t>
        </is>
      </c>
    </row>
    <row r="151" ht="15" customHeight="1" s="21">
      <c r="A151" s="28" t="n">
        <v>150</v>
      </c>
      <c r="B151" s="29" t="inlineStr">
        <is>
          <t>كتكوت</t>
        </is>
      </c>
      <c r="C151" s="30" t="inlineStr">
        <is>
          <t>Katkout</t>
        </is>
      </c>
      <c r="D151" s="31" t="inlineStr">
        <is>
          <t>Film</t>
        </is>
      </c>
      <c r="E151" s="31" t="n">
        <v>2006</v>
      </c>
      <c r="F151" s="28">
        <f>IF(E151="","",IF(E151&lt;1970,"Abyad w eswed",IF(E151&lt;2000,"70s-90s",IF(E151&lt;2015,"2000s","Gedeed"))))</f>
        <v/>
      </c>
      <c r="G151" s="31" t="inlineStr">
        <is>
          <t>Wasat</t>
        </is>
      </c>
      <c r="H151" s="30" t="inlineStr">
        <is>
          <t>Comedy</t>
        </is>
      </c>
      <c r="I151" s="32" t="inlineStr">
        <is>
          <t>محمد سعد</t>
        </is>
      </c>
      <c r="J151" s="32" t="inlineStr">
        <is>
          <t>كتكوت</t>
        </is>
      </c>
      <c r="K151" s="32" t="n"/>
      <c r="L151" s="33">
        <f>IF(B151="","",IF(LEFT(TRIM(B151),2)="ال",MID(TRIM(B151),3,1),LEFT(TRIM(B151),1)))</f>
        <v/>
      </c>
      <c r="M151" s="28">
        <f>IF(B151="","",LEN(TRIM(B151))-LEN(SUBSTITUTE(TRIM(B151)," ",""))+1)</f>
        <v/>
      </c>
      <c r="N151" s="31" t="inlineStr">
        <is>
          <t>Draft</t>
        </is>
      </c>
    </row>
    <row r="152" ht="15" customHeight="1" s="21">
      <c r="A152" s="28" t="n">
        <v>151</v>
      </c>
      <c r="B152" s="29" t="inlineStr">
        <is>
          <t>مطب صناعي</t>
        </is>
      </c>
      <c r="C152" s="30" t="inlineStr">
        <is>
          <t>Matab Sena3y</t>
        </is>
      </c>
      <c r="D152" s="31" t="inlineStr">
        <is>
          <t>Film</t>
        </is>
      </c>
      <c r="E152" s="31" t="n">
        <v>2006</v>
      </c>
      <c r="F152" s="28">
        <f>IF(E152="","",IF(E152&lt;1970,"Abyad w eswed",IF(E152&lt;2000,"70s-90s",IF(E152&lt;2015,"2000s","Gedeed"))))</f>
        <v/>
      </c>
      <c r="G152" s="31" t="inlineStr">
        <is>
          <t>Wasat</t>
        </is>
      </c>
      <c r="H152" s="30" t="inlineStr">
        <is>
          <t>Comedy</t>
        </is>
      </c>
      <c r="I152" s="32" t="inlineStr">
        <is>
          <t>أحمد حلمي</t>
        </is>
      </c>
      <c r="J152" s="32" t="n"/>
      <c r="K152" s="32" t="n"/>
      <c r="L152" s="33">
        <f>IF(B152="","",IF(LEFT(TRIM(B152),2)="ال",MID(TRIM(B152),3,1),LEFT(TRIM(B152),1)))</f>
        <v/>
      </c>
      <c r="M152" s="28">
        <f>IF(B152="","",LEN(TRIM(B152))-LEN(SUBSTITUTE(TRIM(B152)," ",""))+1)</f>
        <v/>
      </c>
      <c r="N152" s="31" t="inlineStr">
        <is>
          <t>Draft</t>
        </is>
      </c>
    </row>
    <row r="153" ht="15" customHeight="1" s="21">
      <c r="A153" s="28" t="n">
        <v>152</v>
      </c>
      <c r="B153" s="29" t="inlineStr">
        <is>
          <t>واحد من الناس</t>
        </is>
      </c>
      <c r="C153" s="30" t="inlineStr">
        <is>
          <t>Wa7ed Men El Nas</t>
        </is>
      </c>
      <c r="D153" s="31" t="inlineStr">
        <is>
          <t>Film</t>
        </is>
      </c>
      <c r="E153" s="31" t="n">
        <v>2006</v>
      </c>
      <c r="F153" s="28">
        <f>IF(E153="","",IF(E153&lt;1970,"Abyad w eswed",IF(E153&lt;2000,"70s-90s",IF(E153&lt;2015,"2000s","Gedeed"))))</f>
        <v/>
      </c>
      <c r="G153" s="31" t="inlineStr">
        <is>
          <t>Wasat</t>
        </is>
      </c>
      <c r="H153" s="30" t="inlineStr">
        <is>
          <t>Drama</t>
        </is>
      </c>
      <c r="I153" s="32" t="inlineStr">
        <is>
          <t>كريم عبد العزيز</t>
        </is>
      </c>
      <c r="J153" s="32" t="n"/>
      <c r="K153" s="32" t="n"/>
      <c r="L153" s="33">
        <f>IF(B153="","",IF(LEFT(TRIM(B153),2)="ال",MID(TRIM(B153),3,1),LEFT(TRIM(B153),1)))</f>
        <v/>
      </c>
      <c r="M153" s="28">
        <f>IF(B153="","",LEN(TRIM(B153))-LEN(SUBSTITUTE(TRIM(B153)," ",""))+1)</f>
        <v/>
      </c>
      <c r="N153" s="31" t="inlineStr">
        <is>
          <t>Draft</t>
        </is>
      </c>
    </row>
    <row r="154" ht="15" customHeight="1" s="21">
      <c r="A154" s="28" t="n">
        <v>153</v>
      </c>
      <c r="B154" s="29" t="inlineStr">
        <is>
          <t>وش إجرام</t>
        </is>
      </c>
      <c r="C154" s="30" t="inlineStr">
        <is>
          <t>Wesh Egram</t>
        </is>
      </c>
      <c r="D154" s="31" t="inlineStr">
        <is>
          <t>Film</t>
        </is>
      </c>
      <c r="E154" s="31" t="n">
        <v>2006</v>
      </c>
      <c r="F154" s="28">
        <f>IF(E154="","",IF(E154&lt;1970,"Abyad w eswed",IF(E154&lt;2000,"70s-90s",IF(E154&lt;2015,"2000s","Gedeed"))))</f>
        <v/>
      </c>
      <c r="G154" s="31" t="inlineStr">
        <is>
          <t>Wasat</t>
        </is>
      </c>
      <c r="H154" s="30" t="inlineStr">
        <is>
          <t>Comedy</t>
        </is>
      </c>
      <c r="I154" s="32" t="inlineStr">
        <is>
          <t>محمد هنيدي</t>
        </is>
      </c>
      <c r="J154" s="32" t="n"/>
      <c r="K154" s="32" t="n"/>
      <c r="L154" s="33">
        <f>IF(B154="","",IF(LEFT(TRIM(B154),2)="ال",MID(TRIM(B154),3,1),LEFT(TRIM(B154),1)))</f>
        <v/>
      </c>
      <c r="M154" s="28">
        <f>IF(B154="","",LEN(TRIM(B154))-LEN(SUBSTITUTE(TRIM(B154)," ",""))+1)</f>
        <v/>
      </c>
      <c r="N154" s="31" t="inlineStr">
        <is>
          <t>Draft</t>
        </is>
      </c>
    </row>
    <row r="155" ht="15" customHeight="1" s="21">
      <c r="A155" s="28" t="n">
        <v>154</v>
      </c>
      <c r="B155" s="29" t="inlineStr">
        <is>
          <t>أنا مش معاهم</t>
        </is>
      </c>
      <c r="C155" s="30" t="inlineStr">
        <is>
          <t>Ana Mesh Ma3ahom</t>
        </is>
      </c>
      <c r="D155" s="31" t="inlineStr">
        <is>
          <t>Film</t>
        </is>
      </c>
      <c r="E155" s="31" t="n">
        <v>2007</v>
      </c>
      <c r="F155" s="28">
        <f>IF(E155="","",IF(E155&lt;1970,"Abyad w eswed",IF(E155&lt;2000,"70s-90s",IF(E155&lt;2015,"2000s","Gedeed"))))</f>
        <v/>
      </c>
      <c r="G155" s="31" t="inlineStr">
        <is>
          <t>Wasat</t>
        </is>
      </c>
      <c r="H155" s="30" t="inlineStr">
        <is>
          <t>Comedy</t>
        </is>
      </c>
      <c r="I155" s="32" t="inlineStr">
        <is>
          <t>أحمد عيد</t>
        </is>
      </c>
      <c r="J155" s="32" t="n"/>
      <c r="K155" s="32" t="n"/>
      <c r="L155" s="33">
        <f>IF(B155="","",IF(LEFT(TRIM(B155),2)="ال",MID(TRIM(B155),3,1),LEFT(TRIM(B155),1)))</f>
        <v/>
      </c>
      <c r="M155" s="28">
        <f>IF(B155="","",LEN(TRIM(B155))-LEN(SUBSTITUTE(TRIM(B155)," ",""))+1)</f>
        <v/>
      </c>
      <c r="N155" s="31" t="inlineStr">
        <is>
          <t>Draft</t>
        </is>
      </c>
    </row>
    <row r="156" ht="15" customHeight="1" s="21">
      <c r="A156" s="28" t="n">
        <v>155</v>
      </c>
      <c r="B156" s="29" t="inlineStr">
        <is>
          <t>الجزيرة</t>
        </is>
      </c>
      <c r="C156" s="30" t="inlineStr">
        <is>
          <t>El Gezira</t>
        </is>
      </c>
      <c r="D156" s="31" t="inlineStr">
        <is>
          <t>Film</t>
        </is>
      </c>
      <c r="E156" s="31" t="n">
        <v>2007</v>
      </c>
      <c r="F156" s="28">
        <f>IF(E156="","",IF(E156&lt;1970,"Abyad w eswed",IF(E156&lt;2000,"70s-90s",IF(E156&lt;2015,"2000s","Gedeed"))))</f>
        <v/>
      </c>
      <c r="G156" s="31" t="inlineStr">
        <is>
          <t>Sahl</t>
        </is>
      </c>
      <c r="H156" s="30" t="inlineStr">
        <is>
          <t>Action</t>
        </is>
      </c>
      <c r="I156" s="32" t="inlineStr">
        <is>
          <t>أحمد السقا</t>
        </is>
      </c>
      <c r="J156" s="32" t="inlineStr">
        <is>
          <t>منصور الحفني</t>
        </is>
      </c>
      <c r="K156" s="32" t="inlineStr">
        <is>
          <t>من النهارده مفيش حكومة، أنا الحكومة</t>
        </is>
      </c>
      <c r="L156" s="33">
        <f>IF(B156="","",IF(LEFT(TRIM(B156),2)="ال",MID(TRIM(B156),3,1),LEFT(TRIM(B156),1)))</f>
        <v/>
      </c>
      <c r="M156" s="28">
        <f>IF(B156="","",LEN(TRIM(B156))-LEN(SUBSTITUTE(TRIM(B156)," ",""))+1)</f>
        <v/>
      </c>
      <c r="N156" s="31" t="inlineStr">
        <is>
          <t>Draft</t>
        </is>
      </c>
    </row>
    <row r="157" ht="15" customHeight="1" s="21">
      <c r="A157" s="28" t="n">
        <v>156</v>
      </c>
      <c r="B157" s="29" t="inlineStr">
        <is>
          <t>تيمور وشفيقة</t>
        </is>
      </c>
      <c r="C157" s="30" t="inlineStr">
        <is>
          <t>Teymour w Shafi2a</t>
        </is>
      </c>
      <c r="D157" s="31" t="inlineStr">
        <is>
          <t>Film</t>
        </is>
      </c>
      <c r="E157" s="31" t="n">
        <v>2007</v>
      </c>
      <c r="F157" s="28">
        <f>IF(E157="","",IF(E157&lt;1970,"Abyad w eswed",IF(E157&lt;2000,"70s-90s",IF(E157&lt;2015,"2000s","Gedeed"))))</f>
        <v/>
      </c>
      <c r="G157" s="31" t="inlineStr">
        <is>
          <t>Sahl</t>
        </is>
      </c>
      <c r="H157" s="30" t="inlineStr">
        <is>
          <t>Romance</t>
        </is>
      </c>
      <c r="I157" s="32" t="inlineStr">
        <is>
          <t>أحمد السقا</t>
        </is>
      </c>
      <c r="J157" s="32" t="inlineStr">
        <is>
          <t>تيمور</t>
        </is>
      </c>
      <c r="K157" s="32" t="n"/>
      <c r="L157" s="33">
        <f>IF(B157="","",IF(LEFT(TRIM(B157),2)="ال",MID(TRIM(B157),3,1),LEFT(TRIM(B157),1)))</f>
        <v/>
      </c>
      <c r="M157" s="28">
        <f>IF(B157="","",LEN(TRIM(B157))-LEN(SUBSTITUTE(TRIM(B157)," ",""))+1)</f>
        <v/>
      </c>
      <c r="N157" s="31" t="inlineStr">
        <is>
          <t>Draft</t>
        </is>
      </c>
    </row>
    <row r="158" ht="15" customHeight="1" s="21">
      <c r="A158" s="28" t="n">
        <v>157</v>
      </c>
      <c r="B158" s="29" t="inlineStr">
        <is>
          <t>حين ميسرة</t>
        </is>
      </c>
      <c r="C158" s="30" t="inlineStr">
        <is>
          <t>7een Maysara</t>
        </is>
      </c>
      <c r="D158" s="31" t="inlineStr">
        <is>
          <t>Film</t>
        </is>
      </c>
      <c r="E158" s="31" t="n">
        <v>2007</v>
      </c>
      <c r="F158" s="28">
        <f>IF(E158="","",IF(E158&lt;1970,"Abyad w eswed",IF(E158&lt;2000,"70s-90s",IF(E158&lt;2015,"2000s","Gedeed"))))</f>
        <v/>
      </c>
      <c r="G158" s="31" t="inlineStr">
        <is>
          <t>Sa3b</t>
        </is>
      </c>
      <c r="H158" s="30" t="inlineStr">
        <is>
          <t>Drama</t>
        </is>
      </c>
      <c r="I158" s="32" t="inlineStr">
        <is>
          <t>عمرو سعد</t>
        </is>
      </c>
      <c r="J158" s="32" t="n"/>
      <c r="K158" s="32" t="n"/>
      <c r="L158" s="33">
        <f>IF(B158="","",IF(LEFT(TRIM(B158),2)="ال",MID(TRIM(B158),3,1),LEFT(TRIM(B158),1)))</f>
        <v/>
      </c>
      <c r="M158" s="28">
        <f>IF(B158="","",LEN(TRIM(B158))-LEN(SUBSTITUTE(TRIM(B158)," ",""))+1)</f>
        <v/>
      </c>
      <c r="N158" s="31" t="inlineStr">
        <is>
          <t>Draft</t>
        </is>
      </c>
    </row>
    <row r="159" ht="15" customHeight="1" s="21">
      <c r="A159" s="28" t="n">
        <v>158</v>
      </c>
      <c r="B159" s="29" t="inlineStr">
        <is>
          <t>عمر وسلمى</t>
        </is>
      </c>
      <c r="C159" s="30" t="inlineStr">
        <is>
          <t>3omar w Salma</t>
        </is>
      </c>
      <c r="D159" s="31" t="inlineStr">
        <is>
          <t>Film</t>
        </is>
      </c>
      <c r="E159" s="31" t="n">
        <v>2007</v>
      </c>
      <c r="F159" s="28">
        <f>IF(E159="","",IF(E159&lt;1970,"Abyad w eswed",IF(E159&lt;2000,"70s-90s",IF(E159&lt;2015,"2000s","Gedeed"))))</f>
        <v/>
      </c>
      <c r="G159" s="31" t="inlineStr">
        <is>
          <t>Sahl</t>
        </is>
      </c>
      <c r="H159" s="30" t="inlineStr">
        <is>
          <t>Romance</t>
        </is>
      </c>
      <c r="I159" s="32" t="inlineStr">
        <is>
          <t>تامر حسني</t>
        </is>
      </c>
      <c r="J159" s="32" t="inlineStr">
        <is>
          <t>عمر</t>
        </is>
      </c>
      <c r="K159" s="32" t="n"/>
      <c r="L159" s="33">
        <f>IF(B159="","",IF(LEFT(TRIM(B159),2)="ال",MID(TRIM(B159),3,1),LEFT(TRIM(B159),1)))</f>
        <v/>
      </c>
      <c r="M159" s="28">
        <f>IF(B159="","",LEN(TRIM(B159))-LEN(SUBSTITUTE(TRIM(B159)," ",""))+1)</f>
        <v/>
      </c>
      <c r="N159" s="31" t="inlineStr">
        <is>
          <t>Draft</t>
        </is>
      </c>
    </row>
    <row r="160" ht="15" customHeight="1" s="21">
      <c r="A160" s="28" t="n">
        <v>159</v>
      </c>
      <c r="B160" s="29" t="inlineStr">
        <is>
          <t>كده رضا</t>
        </is>
      </c>
      <c r="C160" s="30" t="inlineStr">
        <is>
          <t>Keda Reda</t>
        </is>
      </c>
      <c r="D160" s="31" t="inlineStr">
        <is>
          <t>Film</t>
        </is>
      </c>
      <c r="E160" s="31" t="n">
        <v>2007</v>
      </c>
      <c r="F160" s="28">
        <f>IF(E160="","",IF(E160&lt;1970,"Abyad w eswed",IF(E160&lt;2000,"70s-90s",IF(E160&lt;2015,"2000s","Gedeed"))))</f>
        <v/>
      </c>
      <c r="G160" s="31" t="inlineStr">
        <is>
          <t>Sahl</t>
        </is>
      </c>
      <c r="H160" s="30" t="inlineStr">
        <is>
          <t>Comedy</t>
        </is>
      </c>
      <c r="I160" s="32" t="inlineStr">
        <is>
          <t>أحمد حلمي</t>
        </is>
      </c>
      <c r="J160" s="32" t="inlineStr">
        <is>
          <t>رضا</t>
        </is>
      </c>
      <c r="K160" s="32" t="n"/>
      <c r="L160" s="33">
        <f>IF(B160="","",IF(LEFT(TRIM(B160),2)="ال",MID(TRIM(B160),3,1),LEFT(TRIM(B160),1)))</f>
        <v/>
      </c>
      <c r="M160" s="28">
        <f>IF(B160="","",LEN(TRIM(B160))-LEN(SUBSTITUTE(TRIM(B160)," ",""))+1)</f>
        <v/>
      </c>
      <c r="N160" s="31" t="inlineStr">
        <is>
          <t>Draft</t>
        </is>
      </c>
    </row>
    <row r="161" ht="15" customHeight="1" s="21">
      <c r="A161" s="28" t="n">
        <v>160</v>
      </c>
      <c r="B161" s="29" t="inlineStr">
        <is>
          <t>كركر</t>
        </is>
      </c>
      <c r="C161" s="30" t="inlineStr">
        <is>
          <t>Karkar</t>
        </is>
      </c>
      <c r="D161" s="31" t="inlineStr">
        <is>
          <t>Film</t>
        </is>
      </c>
      <c r="E161" s="31" t="n">
        <v>2007</v>
      </c>
      <c r="F161" s="28">
        <f>IF(E161="","",IF(E161&lt;1970,"Abyad w eswed",IF(E161&lt;2000,"70s-90s",IF(E161&lt;2015,"2000s","Gedeed"))))</f>
        <v/>
      </c>
      <c r="G161" s="31" t="inlineStr">
        <is>
          <t>Wasat</t>
        </is>
      </c>
      <c r="H161" s="30" t="inlineStr">
        <is>
          <t>Comedy</t>
        </is>
      </c>
      <c r="I161" s="32" t="inlineStr">
        <is>
          <t>محمد سعد</t>
        </is>
      </c>
      <c r="J161" s="32" t="inlineStr">
        <is>
          <t>كركر</t>
        </is>
      </c>
      <c r="K161" s="32" t="n"/>
      <c r="L161" s="33">
        <f>IF(B161="","",IF(LEFT(TRIM(B161),2)="ال",MID(TRIM(B161),3,1),LEFT(TRIM(B161),1)))</f>
        <v/>
      </c>
      <c r="M161" s="28">
        <f>IF(B161="","",LEN(TRIM(B161))-LEN(SUBSTITUTE(TRIM(B161)," ",""))+1)</f>
        <v/>
      </c>
      <c r="N161" s="31" t="inlineStr">
        <is>
          <t>Draft</t>
        </is>
      </c>
    </row>
    <row r="162" ht="15" customHeight="1" s="21">
      <c r="A162" s="28" t="n">
        <v>161</v>
      </c>
      <c r="B162" s="29" t="inlineStr">
        <is>
          <t>مرجان أحمد مرجان</t>
        </is>
      </c>
      <c r="C162" s="30" t="inlineStr">
        <is>
          <t>Morgan A7med Morgan</t>
        </is>
      </c>
      <c r="D162" s="31" t="inlineStr">
        <is>
          <t>Film</t>
        </is>
      </c>
      <c r="E162" s="31" t="n">
        <v>2007</v>
      </c>
      <c r="F162" s="28">
        <f>IF(E162="","",IF(E162&lt;1970,"Abyad w eswed",IF(E162&lt;2000,"70s-90s",IF(E162&lt;2015,"2000s","Gedeed"))))</f>
        <v/>
      </c>
      <c r="G162" s="31" t="inlineStr">
        <is>
          <t>Sahl</t>
        </is>
      </c>
      <c r="H162" s="30" t="inlineStr">
        <is>
          <t>Comedy</t>
        </is>
      </c>
      <c r="I162" s="32" t="inlineStr">
        <is>
          <t>عادل إمام</t>
        </is>
      </c>
      <c r="J162" s="32" t="inlineStr">
        <is>
          <t>مرجان</t>
        </is>
      </c>
      <c r="K162" s="32" t="n"/>
      <c r="L162" s="33">
        <f>IF(B162="","",IF(LEFT(TRIM(B162),2)="ال",MID(TRIM(B162),3,1),LEFT(TRIM(B162),1)))</f>
        <v/>
      </c>
      <c r="M162" s="28">
        <f>IF(B162="","",LEN(TRIM(B162))-LEN(SUBSTITUTE(TRIM(B162)," ",""))+1)</f>
        <v/>
      </c>
      <c r="N162" s="31" t="inlineStr">
        <is>
          <t>Draft</t>
        </is>
      </c>
    </row>
    <row r="163" ht="15" customHeight="1" s="21">
      <c r="A163" s="28" t="n">
        <v>162</v>
      </c>
      <c r="B163" s="29" t="inlineStr">
        <is>
          <t>هي فوضى</t>
        </is>
      </c>
      <c r="C163" s="30" t="inlineStr">
        <is>
          <t>Heya Fawda</t>
        </is>
      </c>
      <c r="D163" s="31" t="inlineStr">
        <is>
          <t>Film</t>
        </is>
      </c>
      <c r="E163" s="31" t="n">
        <v>2007</v>
      </c>
      <c r="F163" s="28">
        <f>IF(E163="","",IF(E163&lt;1970,"Abyad w eswed",IF(E163&lt;2000,"70s-90s",IF(E163&lt;2015,"2000s","Gedeed"))))</f>
        <v/>
      </c>
      <c r="G163" s="31" t="inlineStr">
        <is>
          <t>Wasat</t>
        </is>
      </c>
      <c r="H163" s="30" t="inlineStr">
        <is>
          <t>Drama</t>
        </is>
      </c>
      <c r="I163" s="32" t="inlineStr">
        <is>
          <t>خالد صالح</t>
        </is>
      </c>
      <c r="J163" s="32" t="inlineStr">
        <is>
          <t>حاتم</t>
        </is>
      </c>
      <c r="K163" s="32" t="n"/>
      <c r="L163" s="33">
        <f>IF(B163="","",IF(LEFT(TRIM(B163),2)="ال",MID(TRIM(B163),3,1),LEFT(TRIM(B163),1)))</f>
        <v/>
      </c>
      <c r="M163" s="28">
        <f>IF(B163="","",LEN(TRIM(B163))-LEN(SUBSTITUTE(TRIM(B163)," ",""))+1)</f>
        <v/>
      </c>
      <c r="N163" s="31" t="inlineStr">
        <is>
          <t>Draft</t>
        </is>
      </c>
    </row>
    <row r="164" ht="15" customHeight="1" s="21">
      <c r="A164" s="28" t="n">
        <v>163</v>
      </c>
      <c r="B164" s="29" t="inlineStr">
        <is>
          <t>آسف على الإزعاج</t>
        </is>
      </c>
      <c r="C164" s="30" t="inlineStr">
        <is>
          <t>Asef 3al Ez3ag</t>
        </is>
      </c>
      <c r="D164" s="31" t="inlineStr">
        <is>
          <t>Film</t>
        </is>
      </c>
      <c r="E164" s="31" t="n">
        <v>2008</v>
      </c>
      <c r="F164" s="28">
        <f>IF(E164="","",IF(E164&lt;1970,"Abyad w eswed",IF(E164&lt;2000,"70s-90s",IF(E164&lt;2015,"2000s","Gedeed"))))</f>
        <v/>
      </c>
      <c r="G164" s="31" t="inlineStr">
        <is>
          <t>Wasat</t>
        </is>
      </c>
      <c r="H164" s="30" t="inlineStr">
        <is>
          <t>Drama</t>
        </is>
      </c>
      <c r="I164" s="32" t="inlineStr">
        <is>
          <t>أحمد حلمي</t>
        </is>
      </c>
      <c r="J164" s="32" t="inlineStr">
        <is>
          <t>حسن</t>
        </is>
      </c>
      <c r="K164" s="32" t="n"/>
      <c r="L164" s="33">
        <f>IF(B164="","",IF(LEFT(TRIM(B164),2)="ال",MID(TRIM(B164),3,1),LEFT(TRIM(B164),1)))</f>
        <v/>
      </c>
      <c r="M164" s="28">
        <f>IF(B164="","",LEN(TRIM(B164))-LEN(SUBSTITUTE(TRIM(B164)," ",""))+1)</f>
        <v/>
      </c>
      <c r="N164" s="31" t="inlineStr">
        <is>
          <t>Draft</t>
        </is>
      </c>
    </row>
    <row r="165" ht="15" customHeight="1" s="21">
      <c r="A165" s="28" t="n">
        <v>164</v>
      </c>
      <c r="B165" s="29" t="inlineStr">
        <is>
          <t>إتش دبور</t>
        </is>
      </c>
      <c r="C165" s="30" t="inlineStr">
        <is>
          <t>H Dabbour</t>
        </is>
      </c>
      <c r="D165" s="31" t="inlineStr">
        <is>
          <t>Film</t>
        </is>
      </c>
      <c r="E165" s="31" t="n">
        <v>2008</v>
      </c>
      <c r="F165" s="28">
        <f>IF(E165="","",IF(E165&lt;1970,"Abyad w eswed",IF(E165&lt;2000,"70s-90s",IF(E165&lt;2015,"2000s","Gedeed"))))</f>
        <v/>
      </c>
      <c r="G165" s="31" t="inlineStr">
        <is>
          <t>Sahl</t>
        </is>
      </c>
      <c r="H165" s="30" t="inlineStr">
        <is>
          <t>Comedy</t>
        </is>
      </c>
      <c r="I165" s="32" t="inlineStr">
        <is>
          <t>أحمد مكي</t>
        </is>
      </c>
      <c r="J165" s="32" t="inlineStr">
        <is>
          <t>دبور</t>
        </is>
      </c>
      <c r="K165" s="32" t="n"/>
      <c r="L165" s="33">
        <f>IF(B165="","",IF(LEFT(TRIM(B165),2)="ال",MID(TRIM(B165),3,1),LEFT(TRIM(B165),1)))</f>
        <v/>
      </c>
      <c r="M165" s="28">
        <f>IF(B165="","",LEN(TRIM(B165))-LEN(SUBSTITUTE(TRIM(B165)," ",""))+1)</f>
        <v/>
      </c>
      <c r="N165" s="31" t="inlineStr">
        <is>
          <t>Draft</t>
        </is>
      </c>
    </row>
    <row r="166" ht="15" customHeight="1" s="21">
      <c r="A166" s="28" t="n">
        <v>165</v>
      </c>
      <c r="B166" s="29" t="inlineStr">
        <is>
          <t>الريس عمر حرب</t>
        </is>
      </c>
      <c r="C166" s="30" t="inlineStr">
        <is>
          <t>El Rayes 3omar 7arb</t>
        </is>
      </c>
      <c r="D166" s="31" t="inlineStr">
        <is>
          <t>Film</t>
        </is>
      </c>
      <c r="E166" s="31" t="n">
        <v>2008</v>
      </c>
      <c r="F166" s="28">
        <f>IF(E166="","",IF(E166&lt;1970,"Abyad w eswed",IF(E166&lt;2000,"70s-90s",IF(E166&lt;2015,"2000s","Gedeed"))))</f>
        <v/>
      </c>
      <c r="G166" s="31" t="inlineStr">
        <is>
          <t>Sa3b</t>
        </is>
      </c>
      <c r="H166" s="30" t="inlineStr">
        <is>
          <t>Drama</t>
        </is>
      </c>
      <c r="I166" s="32" t="inlineStr">
        <is>
          <t>خالد صالح</t>
        </is>
      </c>
      <c r="J166" s="32" t="inlineStr">
        <is>
          <t>عمر حرب</t>
        </is>
      </c>
      <c r="K166" s="32" t="n"/>
      <c r="L166" s="33">
        <f>IF(B166="","",IF(LEFT(TRIM(B166),2)="ال",MID(TRIM(B166),3,1),LEFT(TRIM(B166),1)))</f>
        <v/>
      </c>
      <c r="M166" s="28">
        <f>IF(B166="","",LEN(TRIM(B166))-LEN(SUBSTITUTE(TRIM(B166)," ",""))+1)</f>
        <v/>
      </c>
      <c r="N166" s="31" t="inlineStr">
        <is>
          <t>Draft</t>
        </is>
      </c>
    </row>
    <row r="167" ht="15" customHeight="1" s="21">
      <c r="A167" s="28" t="n">
        <v>166</v>
      </c>
      <c r="B167" s="29" t="inlineStr">
        <is>
          <t>حسن ومرقص</t>
        </is>
      </c>
      <c r="C167" s="30" t="inlineStr">
        <is>
          <t>7assan w Morcos</t>
        </is>
      </c>
      <c r="D167" s="31" t="inlineStr">
        <is>
          <t>Film</t>
        </is>
      </c>
      <c r="E167" s="31" t="n">
        <v>2008</v>
      </c>
      <c r="F167" s="28">
        <f>IF(E167="","",IF(E167&lt;1970,"Abyad w eswed",IF(E167&lt;2000,"70s-90s",IF(E167&lt;2015,"2000s","Gedeed"))))</f>
        <v/>
      </c>
      <c r="G167" s="31" t="inlineStr">
        <is>
          <t>Wasat</t>
        </is>
      </c>
      <c r="H167" s="30" t="inlineStr">
        <is>
          <t>Comedy</t>
        </is>
      </c>
      <c r="I167" s="32" t="inlineStr">
        <is>
          <t>عادل إمام</t>
        </is>
      </c>
      <c r="J167" s="32" t="n"/>
      <c r="K167" s="32" t="n"/>
      <c r="L167" s="33">
        <f>IF(B167="","",IF(LEFT(TRIM(B167),2)="ال",MID(TRIM(B167),3,1),LEFT(TRIM(B167),1)))</f>
        <v/>
      </c>
      <c r="M167" s="28">
        <f>IF(B167="","",LEN(TRIM(B167))-LEN(SUBSTITUTE(TRIM(B167)," ",""))+1)</f>
        <v/>
      </c>
      <c r="N167" s="31" t="inlineStr">
        <is>
          <t>Draft</t>
        </is>
      </c>
    </row>
    <row r="168" ht="15" customHeight="1" s="21">
      <c r="A168" s="28" t="n">
        <v>167</v>
      </c>
      <c r="B168" s="29" t="inlineStr">
        <is>
          <t>رامي الاعتصامي</t>
        </is>
      </c>
      <c r="C168" s="30" t="inlineStr">
        <is>
          <t>Ramy El E3tesamy</t>
        </is>
      </c>
      <c r="D168" s="31" t="inlineStr">
        <is>
          <t>Film</t>
        </is>
      </c>
      <c r="E168" s="31" t="n">
        <v>2008</v>
      </c>
      <c r="F168" s="28">
        <f>IF(E168="","",IF(E168&lt;1970,"Abyad w eswed",IF(E168&lt;2000,"70s-90s",IF(E168&lt;2015,"2000s","Gedeed"))))</f>
        <v/>
      </c>
      <c r="G168" s="31" t="inlineStr">
        <is>
          <t>Wasat</t>
        </is>
      </c>
      <c r="H168" s="30" t="inlineStr">
        <is>
          <t>Comedy</t>
        </is>
      </c>
      <c r="I168" s="32" t="inlineStr">
        <is>
          <t>أحمد عيد</t>
        </is>
      </c>
      <c r="J168" s="32" t="inlineStr">
        <is>
          <t>رامي</t>
        </is>
      </c>
      <c r="K168" s="32" t="n"/>
      <c r="L168" s="33">
        <f>IF(B168="","",IF(LEFT(TRIM(B168),2)="ال",MID(TRIM(B168),3,1),LEFT(TRIM(B168),1)))</f>
        <v/>
      </c>
      <c r="M168" s="28">
        <f>IF(B168="","",LEN(TRIM(B168))-LEN(SUBSTITUTE(TRIM(B168)," ",""))+1)</f>
        <v/>
      </c>
      <c r="N168" s="31" t="inlineStr">
        <is>
          <t>Draft</t>
        </is>
      </c>
    </row>
    <row r="169" ht="15" customHeight="1" s="21">
      <c r="A169" s="28" t="n">
        <v>168</v>
      </c>
      <c r="B169" s="29" t="inlineStr">
        <is>
          <t>رمضان مبروك أبو العلمين حمودة</t>
        </is>
      </c>
      <c r="C169" s="30" t="inlineStr">
        <is>
          <t>Ramadan Mabrouk Abo El 3alamein 7amouda</t>
        </is>
      </c>
      <c r="D169" s="31" t="inlineStr">
        <is>
          <t>Film</t>
        </is>
      </c>
      <c r="E169" s="31" t="n">
        <v>2008</v>
      </c>
      <c r="F169" s="28">
        <f>IF(E169="","",IF(E169&lt;1970,"Abyad w eswed",IF(E169&lt;2000,"70s-90s",IF(E169&lt;2015,"2000s","Gedeed"))))</f>
        <v/>
      </c>
      <c r="G169" s="31" t="inlineStr">
        <is>
          <t>Sahl</t>
        </is>
      </c>
      <c r="H169" s="30" t="inlineStr">
        <is>
          <t>Comedy</t>
        </is>
      </c>
      <c r="I169" s="32" t="inlineStr">
        <is>
          <t>محمد هنيدي</t>
        </is>
      </c>
      <c r="J169" s="32" t="inlineStr">
        <is>
          <t>رمضان مبروك</t>
        </is>
      </c>
      <c r="K169" s="32" t="n"/>
      <c r="L169" s="33">
        <f>IF(B169="","",IF(LEFT(TRIM(B169),2)="ال",MID(TRIM(B169),3,1),LEFT(TRIM(B169),1)))</f>
        <v/>
      </c>
      <c r="M169" s="28">
        <f>IF(B169="","",LEN(TRIM(B169))-LEN(SUBSTITUTE(TRIM(B169)," ",""))+1)</f>
        <v/>
      </c>
      <c r="N169" s="31" t="inlineStr">
        <is>
          <t>Draft</t>
        </is>
      </c>
    </row>
    <row r="170" ht="15" customHeight="1" s="21">
      <c r="A170" s="28" t="n">
        <v>169</v>
      </c>
      <c r="B170" s="29" t="inlineStr">
        <is>
          <t>عندليب الدقي</t>
        </is>
      </c>
      <c r="C170" s="30" t="inlineStr">
        <is>
          <t>3andaleeb El Do22i</t>
        </is>
      </c>
      <c r="D170" s="31" t="inlineStr">
        <is>
          <t>Film</t>
        </is>
      </c>
      <c r="E170" s="31" t="n">
        <v>2008</v>
      </c>
      <c r="F170" s="28">
        <f>IF(E170="","",IF(E170&lt;1970,"Abyad w eswed",IF(E170&lt;2000,"70s-90s",IF(E170&lt;2015,"2000s","Gedeed"))))</f>
        <v/>
      </c>
      <c r="G170" s="31" t="inlineStr">
        <is>
          <t>Wasat</t>
        </is>
      </c>
      <c r="H170" s="30" t="inlineStr">
        <is>
          <t>Comedy</t>
        </is>
      </c>
      <c r="I170" s="32" t="inlineStr">
        <is>
          <t>محمد هنيدي</t>
        </is>
      </c>
      <c r="J170" s="32" t="n"/>
      <c r="K170" s="32" t="n"/>
      <c r="L170" s="33">
        <f>IF(B170="","",IF(LEFT(TRIM(B170),2)="ال",MID(TRIM(B170),3,1),LEFT(TRIM(B170),1)))</f>
        <v/>
      </c>
      <c r="M170" s="28">
        <f>IF(B170="","",LEN(TRIM(B170))-LEN(SUBSTITUTE(TRIM(B170)," ",""))+1)</f>
        <v/>
      </c>
      <c r="N170" s="31" t="inlineStr">
        <is>
          <t>Draft</t>
        </is>
      </c>
    </row>
    <row r="171" ht="15" customHeight="1" s="21">
      <c r="A171" s="28" t="n">
        <v>170</v>
      </c>
      <c r="B171" s="29" t="inlineStr">
        <is>
          <t>كباريه</t>
        </is>
      </c>
      <c r="C171" s="30" t="inlineStr">
        <is>
          <t>Cabaret</t>
        </is>
      </c>
      <c r="D171" s="31" t="inlineStr">
        <is>
          <t>Film</t>
        </is>
      </c>
      <c r="E171" s="31" t="n">
        <v>2008</v>
      </c>
      <c r="F171" s="28">
        <f>IF(E171="","",IF(E171&lt;1970,"Abyad w eswed",IF(E171&lt;2000,"70s-90s",IF(E171&lt;2015,"2000s","Gedeed"))))</f>
        <v/>
      </c>
      <c r="G171" s="31" t="inlineStr">
        <is>
          <t>Sa3b</t>
        </is>
      </c>
      <c r="H171" s="30" t="inlineStr">
        <is>
          <t>Drama</t>
        </is>
      </c>
      <c r="I171" s="32" t="inlineStr">
        <is>
          <t>خالد الصاوي</t>
        </is>
      </c>
      <c r="J171" s="32" t="n"/>
      <c r="K171" s="32" t="n"/>
      <c r="L171" s="33">
        <f>IF(B171="","",IF(LEFT(TRIM(B171),2)="ال",MID(TRIM(B171),3,1),LEFT(TRIM(B171),1)))</f>
        <v/>
      </c>
      <c r="M171" s="28">
        <f>IF(B171="","",LEN(TRIM(B171))-LEN(SUBSTITUTE(TRIM(B171)," ",""))+1)</f>
        <v/>
      </c>
      <c r="N171" s="31" t="inlineStr">
        <is>
          <t>Rage3ha</t>
        </is>
      </c>
    </row>
    <row r="172" ht="15" customHeight="1" s="21">
      <c r="A172" s="28" t="n">
        <v>171</v>
      </c>
      <c r="B172" s="29" t="inlineStr">
        <is>
          <t>مسجون ترانزيت</t>
        </is>
      </c>
      <c r="C172" s="30" t="inlineStr">
        <is>
          <t>Masgoun Transit</t>
        </is>
      </c>
      <c r="D172" s="31" t="inlineStr">
        <is>
          <t>Film</t>
        </is>
      </c>
      <c r="E172" s="31" t="n">
        <v>2008</v>
      </c>
      <c r="F172" s="28">
        <f>IF(E172="","",IF(E172&lt;1970,"Abyad w eswed",IF(E172&lt;2000,"70s-90s",IF(E172&lt;2015,"2000s","Gedeed"))))</f>
        <v/>
      </c>
      <c r="G172" s="31" t="inlineStr">
        <is>
          <t>Wasat</t>
        </is>
      </c>
      <c r="H172" s="30" t="inlineStr">
        <is>
          <t>Action</t>
        </is>
      </c>
      <c r="I172" s="32" t="inlineStr">
        <is>
          <t>أحمد عز</t>
        </is>
      </c>
      <c r="J172" s="32" t="n"/>
      <c r="K172" s="32" t="n"/>
      <c r="L172" s="33">
        <f>IF(B172="","",IF(LEFT(TRIM(B172),2)="ال",MID(TRIM(B172),3,1),LEFT(TRIM(B172),1)))</f>
        <v/>
      </c>
      <c r="M172" s="28">
        <f>IF(B172="","",LEN(TRIM(B172))-LEN(SUBSTITUTE(TRIM(B172)," ",""))+1)</f>
        <v/>
      </c>
      <c r="N172" s="31" t="inlineStr">
        <is>
          <t>Draft</t>
        </is>
      </c>
    </row>
    <row r="173" ht="15" customHeight="1" s="21">
      <c r="A173" s="28" t="n">
        <v>172</v>
      </c>
      <c r="B173" s="29" t="inlineStr">
        <is>
          <t>ورقة شفرة</t>
        </is>
      </c>
      <c r="C173" s="30" t="inlineStr">
        <is>
          <t>Wara2et Shafra</t>
        </is>
      </c>
      <c r="D173" s="31" t="inlineStr">
        <is>
          <t>Film</t>
        </is>
      </c>
      <c r="E173" s="31" t="n">
        <v>2008</v>
      </c>
      <c r="F173" s="28">
        <f>IF(E173="","",IF(E173&lt;1970,"Abyad w eswed",IF(E173&lt;2000,"70s-90s",IF(E173&lt;2015,"2000s","Gedeed"))))</f>
        <v/>
      </c>
      <c r="G173" s="31" t="inlineStr">
        <is>
          <t>Wasat</t>
        </is>
      </c>
      <c r="H173" s="30" t="inlineStr">
        <is>
          <t>Comedy</t>
        </is>
      </c>
      <c r="I173" s="32" t="inlineStr">
        <is>
          <t>أحمد فهمي</t>
        </is>
      </c>
      <c r="J173" s="32" t="n"/>
      <c r="K173" s="32" t="n"/>
      <c r="L173" s="33">
        <f>IF(B173="","",IF(LEFT(TRIM(B173),2)="ال",MID(TRIM(B173),3,1),LEFT(TRIM(B173),1)))</f>
        <v/>
      </c>
      <c r="M173" s="28">
        <f>IF(B173="","",LEN(TRIM(B173))-LEN(SUBSTITUTE(TRIM(B173)," ",""))+1)</f>
        <v/>
      </c>
      <c r="N173" s="31" t="inlineStr">
        <is>
          <t>Draft</t>
        </is>
      </c>
    </row>
    <row r="174" ht="15" customHeight="1" s="21">
      <c r="A174" s="28" t="n">
        <v>173</v>
      </c>
      <c r="B174" s="29" t="inlineStr">
        <is>
          <t>ألف مبروك</t>
        </is>
      </c>
      <c r="C174" s="30" t="inlineStr">
        <is>
          <t>Alf Mabrouk</t>
        </is>
      </c>
      <c r="D174" s="31" t="inlineStr">
        <is>
          <t>Film</t>
        </is>
      </c>
      <c r="E174" s="31" t="n">
        <v>2009</v>
      </c>
      <c r="F174" s="28">
        <f>IF(E174="","",IF(E174&lt;1970,"Abyad w eswed",IF(E174&lt;2000,"70s-90s",IF(E174&lt;2015,"2000s","Gedeed"))))</f>
        <v/>
      </c>
      <c r="G174" s="31" t="inlineStr">
        <is>
          <t>Wasat</t>
        </is>
      </c>
      <c r="H174" s="30" t="inlineStr">
        <is>
          <t>Drama</t>
        </is>
      </c>
      <c r="I174" s="32" t="inlineStr">
        <is>
          <t>أحمد حلمي</t>
        </is>
      </c>
      <c r="J174" s="32" t="inlineStr">
        <is>
          <t>أحمد جلال</t>
        </is>
      </c>
      <c r="K174" s="32" t="n"/>
      <c r="L174" s="33">
        <f>IF(B174="","",IF(LEFT(TRIM(B174),2)="ال",MID(TRIM(B174),3,1),LEFT(TRIM(B174),1)))</f>
        <v/>
      </c>
      <c r="M174" s="28">
        <f>IF(B174="","",LEN(TRIM(B174))-LEN(SUBSTITUTE(TRIM(B174)," ",""))+1)</f>
        <v/>
      </c>
      <c r="N174" s="31" t="inlineStr">
        <is>
          <t>Draft</t>
        </is>
      </c>
    </row>
    <row r="175" ht="15" customHeight="1" s="21">
      <c r="A175" s="28" t="n">
        <v>174</v>
      </c>
      <c r="B175" s="29" t="inlineStr">
        <is>
          <t>أمير البحار</t>
        </is>
      </c>
      <c r="C175" s="30" t="inlineStr">
        <is>
          <t>Amir El Bi7ar</t>
        </is>
      </c>
      <c r="D175" s="31" t="inlineStr">
        <is>
          <t>Film</t>
        </is>
      </c>
      <c r="E175" s="31" t="n">
        <v>2009</v>
      </c>
      <c r="F175" s="28">
        <f>IF(E175="","",IF(E175&lt;1970,"Abyad w eswed",IF(E175&lt;2000,"70s-90s",IF(E175&lt;2015,"2000s","Gedeed"))))</f>
        <v/>
      </c>
      <c r="G175" s="31" t="inlineStr">
        <is>
          <t>Wasat</t>
        </is>
      </c>
      <c r="H175" s="30" t="inlineStr">
        <is>
          <t>Comedy</t>
        </is>
      </c>
      <c r="I175" s="32" t="inlineStr">
        <is>
          <t>محمد هنيدي</t>
        </is>
      </c>
      <c r="J175" s="32" t="n"/>
      <c r="K175" s="32" t="n"/>
      <c r="L175" s="33">
        <f>IF(B175="","",IF(LEFT(TRIM(B175),2)="ال",MID(TRIM(B175),3,1),LEFT(TRIM(B175),1)))</f>
        <v/>
      </c>
      <c r="M175" s="28">
        <f>IF(B175="","",LEN(TRIM(B175))-LEN(SUBSTITUTE(TRIM(B175)," ",""))+1)</f>
        <v/>
      </c>
      <c r="N175" s="31" t="inlineStr">
        <is>
          <t>Draft</t>
        </is>
      </c>
    </row>
    <row r="176" ht="15" customHeight="1" s="21">
      <c r="A176" s="28" t="n">
        <v>175</v>
      </c>
      <c r="B176" s="29" t="inlineStr">
        <is>
          <t>إبراهيم الأبيض</t>
        </is>
      </c>
      <c r="C176" s="30" t="inlineStr">
        <is>
          <t>Ibrahim El Abyad</t>
        </is>
      </c>
      <c r="D176" s="31" t="inlineStr">
        <is>
          <t>Film</t>
        </is>
      </c>
      <c r="E176" s="31" t="n">
        <v>2009</v>
      </c>
      <c r="F176" s="28">
        <f>IF(E176="","",IF(E176&lt;1970,"Abyad w eswed",IF(E176&lt;2000,"70s-90s",IF(E176&lt;2015,"2000s","Gedeed"))))</f>
        <v/>
      </c>
      <c r="G176" s="31" t="inlineStr">
        <is>
          <t>Wasat</t>
        </is>
      </c>
      <c r="H176" s="30" t="inlineStr">
        <is>
          <t>Action</t>
        </is>
      </c>
      <c r="I176" s="32" t="inlineStr">
        <is>
          <t>أحمد السقا</t>
        </is>
      </c>
      <c r="J176" s="32" t="inlineStr">
        <is>
          <t>إبراهيم الأبيض</t>
        </is>
      </c>
      <c r="K176" s="32" t="n"/>
      <c r="L176" s="33">
        <f>IF(B176="","",IF(LEFT(TRIM(B176),2)="ال",MID(TRIM(B176),3,1),LEFT(TRIM(B176),1)))</f>
        <v/>
      </c>
      <c r="M176" s="28">
        <f>IF(B176="","",LEN(TRIM(B176))-LEN(SUBSTITUTE(TRIM(B176)," ",""))+1)</f>
        <v/>
      </c>
      <c r="N176" s="31" t="inlineStr">
        <is>
          <t>Draft</t>
        </is>
      </c>
    </row>
    <row r="177" ht="15" customHeight="1" s="21">
      <c r="A177" s="28" t="n">
        <v>176</v>
      </c>
      <c r="B177" s="29" t="inlineStr">
        <is>
          <t>الفرح</t>
        </is>
      </c>
      <c r="C177" s="30" t="inlineStr">
        <is>
          <t>El Fara7</t>
        </is>
      </c>
      <c r="D177" s="31" t="inlineStr">
        <is>
          <t>Film</t>
        </is>
      </c>
      <c r="E177" s="31" t="n">
        <v>2009</v>
      </c>
      <c r="F177" s="28">
        <f>IF(E177="","",IF(E177&lt;1970,"Abyad w eswed",IF(E177&lt;2000,"70s-90s",IF(E177&lt;2015,"2000s","Gedeed"))))</f>
        <v/>
      </c>
      <c r="G177" s="31" t="inlineStr">
        <is>
          <t>Sa3b</t>
        </is>
      </c>
      <c r="H177" s="30" t="inlineStr">
        <is>
          <t>Drama</t>
        </is>
      </c>
      <c r="I177" s="32" t="inlineStr">
        <is>
          <t>خالد الصاوي</t>
        </is>
      </c>
      <c r="J177" s="32" t="n"/>
      <c r="K177" s="32" t="n"/>
      <c r="L177" s="33">
        <f>IF(B177="","",IF(LEFT(TRIM(B177),2)="ال",MID(TRIM(B177),3,1),LEFT(TRIM(B177),1)))</f>
        <v/>
      </c>
      <c r="M177" s="28">
        <f>IF(B177="","",LEN(TRIM(B177))-LEN(SUBSTITUTE(TRIM(B177)," ",""))+1)</f>
        <v/>
      </c>
      <c r="N177" s="31" t="inlineStr">
        <is>
          <t>Rage3ha</t>
        </is>
      </c>
    </row>
    <row r="178" ht="15" customHeight="1" s="21">
      <c r="A178" s="28" t="n">
        <v>177</v>
      </c>
      <c r="B178" s="29" t="inlineStr">
        <is>
          <t>بوبوس</t>
        </is>
      </c>
      <c r="C178" s="30" t="inlineStr">
        <is>
          <t>Bobbos</t>
        </is>
      </c>
      <c r="D178" s="31" t="inlineStr">
        <is>
          <t>Film</t>
        </is>
      </c>
      <c r="E178" s="31" t="n">
        <v>2009</v>
      </c>
      <c r="F178" s="28">
        <f>IF(E178="","",IF(E178&lt;1970,"Abyad w eswed",IF(E178&lt;2000,"70s-90s",IF(E178&lt;2015,"2000s","Gedeed"))))</f>
        <v/>
      </c>
      <c r="G178" s="31" t="inlineStr">
        <is>
          <t>Wasat</t>
        </is>
      </c>
      <c r="H178" s="30" t="inlineStr">
        <is>
          <t>Comedy</t>
        </is>
      </c>
      <c r="I178" s="32" t="inlineStr">
        <is>
          <t>عادل إمام</t>
        </is>
      </c>
      <c r="J178" s="32" t="n"/>
      <c r="K178" s="32" t="n"/>
      <c r="L178" s="33">
        <f>IF(B178="","",IF(LEFT(TRIM(B178),2)="ال",MID(TRIM(B178),3,1),LEFT(TRIM(B178),1)))</f>
        <v/>
      </c>
      <c r="M178" s="28">
        <f>IF(B178="","",LEN(TRIM(B178))-LEN(SUBSTITUTE(TRIM(B178)," ",""))+1)</f>
        <v/>
      </c>
      <c r="N178" s="31" t="inlineStr">
        <is>
          <t>Draft</t>
        </is>
      </c>
    </row>
    <row r="179" ht="15" customHeight="1" s="21">
      <c r="A179" s="28" t="n">
        <v>178</v>
      </c>
      <c r="B179" s="29" t="inlineStr">
        <is>
          <t>خلطة فوزية</t>
        </is>
      </c>
      <c r="C179" s="30" t="inlineStr">
        <is>
          <t>Khaltet Fawzeya</t>
        </is>
      </c>
      <c r="D179" s="31" t="inlineStr">
        <is>
          <t>Film</t>
        </is>
      </c>
      <c r="E179" s="31" t="n">
        <v>2009</v>
      </c>
      <c r="F179" s="28">
        <f>IF(E179="","",IF(E179&lt;1970,"Abyad w eswed",IF(E179&lt;2000,"70s-90s",IF(E179&lt;2015,"2000s","Gedeed"))))</f>
        <v/>
      </c>
      <c r="G179" s="31" t="inlineStr">
        <is>
          <t>Sa3b</t>
        </is>
      </c>
      <c r="H179" s="30" t="inlineStr">
        <is>
          <t>Drama</t>
        </is>
      </c>
      <c r="I179" s="32" t="inlineStr">
        <is>
          <t>إلهام شاهين</t>
        </is>
      </c>
      <c r="J179" s="32" t="inlineStr">
        <is>
          <t>فوزية</t>
        </is>
      </c>
      <c r="K179" s="32" t="n"/>
      <c r="L179" s="33">
        <f>IF(B179="","",IF(LEFT(TRIM(B179),2)="ال",MID(TRIM(B179),3,1),LEFT(TRIM(B179),1)))</f>
        <v/>
      </c>
      <c r="M179" s="28">
        <f>IF(B179="","",LEN(TRIM(B179))-LEN(SUBSTITUTE(TRIM(B179)," ",""))+1)</f>
        <v/>
      </c>
      <c r="N179" s="31" t="inlineStr">
        <is>
          <t>Draft</t>
        </is>
      </c>
    </row>
    <row r="180" ht="15" customHeight="1" s="21">
      <c r="A180" s="28" t="n">
        <v>179</v>
      </c>
      <c r="B180" s="29" t="inlineStr">
        <is>
          <t>دكان شحاتة</t>
        </is>
      </c>
      <c r="C180" s="30" t="inlineStr">
        <is>
          <t>Dokkan Shehata</t>
        </is>
      </c>
      <c r="D180" s="31" t="inlineStr">
        <is>
          <t>Film</t>
        </is>
      </c>
      <c r="E180" s="31" t="n">
        <v>2009</v>
      </c>
      <c r="F180" s="28">
        <f>IF(E180="","",IF(E180&lt;1970,"Abyad w eswed",IF(E180&lt;2000,"70s-90s",IF(E180&lt;2015,"2000s","Gedeed"))))</f>
        <v/>
      </c>
      <c r="G180" s="31" t="inlineStr">
        <is>
          <t>Wasat</t>
        </is>
      </c>
      <c r="H180" s="30" t="inlineStr">
        <is>
          <t>Drama</t>
        </is>
      </c>
      <c r="I180" s="32" t="inlineStr">
        <is>
          <t>عمرو سعد</t>
        </is>
      </c>
      <c r="J180" s="32" t="inlineStr">
        <is>
          <t>شحاتة</t>
        </is>
      </c>
      <c r="K180" s="32" t="n"/>
      <c r="L180" s="33">
        <f>IF(B180="","",IF(LEFT(TRIM(B180),2)="ال",MID(TRIM(B180),3,1),LEFT(TRIM(B180),1)))</f>
        <v/>
      </c>
      <c r="M180" s="28">
        <f>IF(B180="","",LEN(TRIM(B180))-LEN(SUBSTITUTE(TRIM(B180)," ",""))+1)</f>
        <v/>
      </c>
      <c r="N180" s="31" t="inlineStr">
        <is>
          <t>Draft</t>
        </is>
      </c>
    </row>
    <row r="181" ht="15" customHeight="1" s="21">
      <c r="A181" s="28" t="n">
        <v>180</v>
      </c>
      <c r="B181" s="29" t="inlineStr">
        <is>
          <t>طير إنت</t>
        </is>
      </c>
      <c r="C181" s="30" t="inlineStr">
        <is>
          <t>Teer Enta</t>
        </is>
      </c>
      <c r="D181" s="31" t="inlineStr">
        <is>
          <t>Film</t>
        </is>
      </c>
      <c r="E181" s="31" t="n">
        <v>2009</v>
      </c>
      <c r="F181" s="28">
        <f>IF(E181="","",IF(E181&lt;1970,"Abyad w eswed",IF(E181&lt;2000,"70s-90s",IF(E181&lt;2015,"2000s","Gedeed"))))</f>
        <v/>
      </c>
      <c r="G181" s="31" t="inlineStr">
        <is>
          <t>Sahl</t>
        </is>
      </c>
      <c r="H181" s="30" t="inlineStr">
        <is>
          <t>Comedy</t>
        </is>
      </c>
      <c r="I181" s="32" t="inlineStr">
        <is>
          <t>أحمد مكي</t>
        </is>
      </c>
      <c r="J181" s="32" t="n"/>
      <c r="K181" s="32" t="n"/>
      <c r="L181" s="33">
        <f>IF(B181="","",IF(LEFT(TRIM(B181),2)="ال",MID(TRIM(B181),3,1),LEFT(TRIM(B181),1)))</f>
        <v/>
      </c>
      <c r="M181" s="28">
        <f>IF(B181="","",LEN(TRIM(B181))-LEN(SUBSTITUTE(TRIM(B181)," ",""))+1)</f>
        <v/>
      </c>
      <c r="N181" s="31" t="inlineStr">
        <is>
          <t>Draft</t>
        </is>
      </c>
    </row>
    <row r="182" ht="15" customHeight="1" s="21">
      <c r="A182" s="28" t="n">
        <v>181</v>
      </c>
      <c r="B182" s="29" t="inlineStr">
        <is>
          <t>واحد صفر</t>
        </is>
      </c>
      <c r="C182" s="30" t="inlineStr">
        <is>
          <t>Wa7ed Sefr</t>
        </is>
      </c>
      <c r="D182" s="31" t="inlineStr">
        <is>
          <t>Film</t>
        </is>
      </c>
      <c r="E182" s="31" t="n">
        <v>2009</v>
      </c>
      <c r="F182" s="28">
        <f>IF(E182="","",IF(E182&lt;1970,"Abyad w eswed",IF(E182&lt;2000,"70s-90s",IF(E182&lt;2015,"2000s","Gedeed"))))</f>
        <v/>
      </c>
      <c r="G182" s="31" t="inlineStr">
        <is>
          <t>Sa3b</t>
        </is>
      </c>
      <c r="H182" s="30" t="inlineStr">
        <is>
          <t>Drama</t>
        </is>
      </c>
      <c r="I182" s="32" t="inlineStr">
        <is>
          <t>إلهام شاهين</t>
        </is>
      </c>
      <c r="J182" s="32" t="n"/>
      <c r="K182" s="32" t="n"/>
      <c r="L182" s="33">
        <f>IF(B182="","",IF(LEFT(TRIM(B182),2)="ال",MID(TRIM(B182),3,1),LEFT(TRIM(B182),1)))</f>
        <v/>
      </c>
      <c r="M182" s="28">
        <f>IF(B182="","",LEN(TRIM(B182))-LEN(SUBSTITUTE(TRIM(B182)," ",""))+1)</f>
        <v/>
      </c>
      <c r="N182" s="31" t="inlineStr">
        <is>
          <t>Draft</t>
        </is>
      </c>
    </row>
    <row r="183" ht="15" customHeight="1" s="21">
      <c r="A183" s="28" t="n">
        <v>182</v>
      </c>
      <c r="B183" s="29" t="inlineStr">
        <is>
          <t>ولاد العم</t>
        </is>
      </c>
      <c r="C183" s="30" t="inlineStr">
        <is>
          <t>Welad El 3am</t>
        </is>
      </c>
      <c r="D183" s="31" t="inlineStr">
        <is>
          <t>Film</t>
        </is>
      </c>
      <c r="E183" s="31" t="n">
        <v>2009</v>
      </c>
      <c r="F183" s="28">
        <f>IF(E183="","",IF(E183&lt;1970,"Abyad w eswed",IF(E183&lt;2000,"70s-90s",IF(E183&lt;2015,"2000s","Gedeed"))))</f>
        <v/>
      </c>
      <c r="G183" s="31" t="inlineStr">
        <is>
          <t>Wasat</t>
        </is>
      </c>
      <c r="H183" s="30" t="inlineStr">
        <is>
          <t>Action</t>
        </is>
      </c>
      <c r="I183" s="32" t="inlineStr">
        <is>
          <t>كريم عبد العزيز</t>
        </is>
      </c>
      <c r="J183" s="32" t="n"/>
      <c r="K183" s="32" t="n"/>
      <c r="L183" s="33">
        <f>IF(B183="","",IF(LEFT(TRIM(B183),2)="ال",MID(TRIM(B183),3,1),LEFT(TRIM(B183),1)))</f>
        <v/>
      </c>
      <c r="M183" s="28">
        <f>IF(B183="","",LEN(TRIM(B183))-LEN(SUBSTITUTE(TRIM(B183)," ",""))+1)</f>
        <v/>
      </c>
      <c r="N183" s="31" t="inlineStr">
        <is>
          <t>Draft</t>
        </is>
      </c>
    </row>
    <row r="184" ht="15" customHeight="1" s="21">
      <c r="A184" s="28" t="n">
        <v>183</v>
      </c>
      <c r="B184" s="29" t="inlineStr">
        <is>
          <t>ابن القنصل</t>
        </is>
      </c>
      <c r="C184" s="30" t="inlineStr">
        <is>
          <t>Ibn El 2onsol</t>
        </is>
      </c>
      <c r="D184" s="31" t="inlineStr">
        <is>
          <t>Film</t>
        </is>
      </c>
      <c r="E184" s="31" t="n">
        <v>2010</v>
      </c>
      <c r="F184" s="28">
        <f>IF(E184="","",IF(E184&lt;1970,"Abyad w eswed",IF(E184&lt;2000,"70s-90s",IF(E184&lt;2015,"2000s","Gedeed"))))</f>
        <v/>
      </c>
      <c r="G184" s="31" t="inlineStr">
        <is>
          <t>Wasat</t>
        </is>
      </c>
      <c r="H184" s="30" t="inlineStr">
        <is>
          <t>Comedy</t>
        </is>
      </c>
      <c r="I184" s="32" t="inlineStr">
        <is>
          <t>أحمد السقا</t>
        </is>
      </c>
      <c r="J184" s="32" t="n"/>
      <c r="K184" s="32" t="n"/>
      <c r="L184" s="33">
        <f>IF(B184="","",IF(LEFT(TRIM(B184),2)="ال",MID(TRIM(B184),3,1),LEFT(TRIM(B184),1)))</f>
        <v/>
      </c>
      <c r="M184" s="28">
        <f>IF(B184="","",LEN(TRIM(B184))-LEN(SUBSTITUTE(TRIM(B184)," ",""))+1)</f>
        <v/>
      </c>
      <c r="N184" s="31" t="inlineStr">
        <is>
          <t>Draft</t>
        </is>
      </c>
    </row>
    <row r="185" ht="15" customHeight="1" s="21">
      <c r="A185" s="28" t="n">
        <v>184</v>
      </c>
      <c r="B185" s="29" t="inlineStr">
        <is>
          <t>الثلاثة يشتغلونها</t>
        </is>
      </c>
      <c r="C185" s="30" t="inlineStr">
        <is>
          <t>El Talata Yeshtaghalonha</t>
        </is>
      </c>
      <c r="D185" s="31" t="inlineStr">
        <is>
          <t>Film</t>
        </is>
      </c>
      <c r="E185" s="31" t="n">
        <v>2010</v>
      </c>
      <c r="F185" s="28">
        <f>IF(E185="","",IF(E185&lt;1970,"Abyad w eswed",IF(E185&lt;2000,"70s-90s",IF(E185&lt;2015,"2000s","Gedeed"))))</f>
        <v/>
      </c>
      <c r="G185" s="31" t="inlineStr">
        <is>
          <t>Wasat</t>
        </is>
      </c>
      <c r="H185" s="30" t="inlineStr">
        <is>
          <t>Comedy</t>
        </is>
      </c>
      <c r="I185" s="32" t="inlineStr">
        <is>
          <t>ياسمين عبد العزيز</t>
        </is>
      </c>
      <c r="J185" s="32" t="inlineStr">
        <is>
          <t>نجيبة</t>
        </is>
      </c>
      <c r="K185" s="32" t="n"/>
      <c r="L185" s="33">
        <f>IF(B185="","",IF(LEFT(TRIM(B185),2)="ال",MID(TRIM(B185),3,1),LEFT(TRIM(B185),1)))</f>
        <v/>
      </c>
      <c r="M185" s="28">
        <f>IF(B185="","",LEN(TRIM(B185))-LEN(SUBSTITUTE(TRIM(B185)," ",""))+1)</f>
        <v/>
      </c>
      <c r="N185" s="31" t="inlineStr">
        <is>
          <t>Draft</t>
        </is>
      </c>
    </row>
    <row r="186" ht="15" customHeight="1" s="21">
      <c r="A186" s="28" t="n">
        <v>185</v>
      </c>
      <c r="B186" s="29" t="inlineStr">
        <is>
          <t>اللمبي 8 جيجا</t>
        </is>
      </c>
      <c r="C186" s="30" t="inlineStr">
        <is>
          <t>El Limby 8 Giga</t>
        </is>
      </c>
      <c r="D186" s="31" t="inlineStr">
        <is>
          <t>Film</t>
        </is>
      </c>
      <c r="E186" s="31" t="n">
        <v>2010</v>
      </c>
      <c r="F186" s="28">
        <f>IF(E186="","",IF(E186&lt;1970,"Abyad w eswed",IF(E186&lt;2000,"70s-90s",IF(E186&lt;2015,"2000s","Gedeed"))))</f>
        <v/>
      </c>
      <c r="G186" s="31" t="inlineStr">
        <is>
          <t>Sahl</t>
        </is>
      </c>
      <c r="H186" s="30" t="inlineStr">
        <is>
          <t>Comedy</t>
        </is>
      </c>
      <c r="I186" s="32" t="inlineStr">
        <is>
          <t>محمد سعد</t>
        </is>
      </c>
      <c r="J186" s="32" t="inlineStr">
        <is>
          <t>اللمبي</t>
        </is>
      </c>
      <c r="K186" s="32" t="n"/>
      <c r="L186" s="33">
        <f>IF(B186="","",IF(LEFT(TRIM(B186),2)="ال",MID(TRIM(B186),3,1),LEFT(TRIM(B186),1)))</f>
        <v/>
      </c>
      <c r="M186" s="28">
        <f>IF(B186="","",LEN(TRIM(B186))-LEN(SUBSTITUTE(TRIM(B186)," ",""))+1)</f>
        <v/>
      </c>
      <c r="N186" s="31" t="inlineStr">
        <is>
          <t>Draft</t>
        </is>
      </c>
    </row>
    <row r="187" ht="15" customHeight="1" s="21">
      <c r="A187" s="28" t="n">
        <v>186</v>
      </c>
      <c r="B187" s="29" t="inlineStr">
        <is>
          <t>بلبل حيران</t>
        </is>
      </c>
      <c r="C187" s="30" t="inlineStr">
        <is>
          <t>Bolbol 7ayran</t>
        </is>
      </c>
      <c r="D187" s="31" t="inlineStr">
        <is>
          <t>Film</t>
        </is>
      </c>
      <c r="E187" s="31" t="n">
        <v>2010</v>
      </c>
      <c r="F187" s="28">
        <f>IF(E187="","",IF(E187&lt;1970,"Abyad w eswed",IF(E187&lt;2000,"70s-90s",IF(E187&lt;2015,"2000s","Gedeed"))))</f>
        <v/>
      </c>
      <c r="G187" s="31" t="inlineStr">
        <is>
          <t>Wasat</t>
        </is>
      </c>
      <c r="H187" s="30" t="inlineStr">
        <is>
          <t>Comedy</t>
        </is>
      </c>
      <c r="I187" s="32" t="inlineStr">
        <is>
          <t>أحمد حلمي</t>
        </is>
      </c>
      <c r="J187" s="32" t="inlineStr">
        <is>
          <t>بلبل</t>
        </is>
      </c>
      <c r="K187" s="32" t="n"/>
      <c r="L187" s="33">
        <f>IF(B187="","",IF(LEFT(TRIM(B187),2)="ال",MID(TRIM(B187),3,1),LEFT(TRIM(B187),1)))</f>
        <v/>
      </c>
      <c r="M187" s="28">
        <f>IF(B187="","",LEN(TRIM(B187))-LEN(SUBSTITUTE(TRIM(B187)," ",""))+1)</f>
        <v/>
      </c>
      <c r="N187" s="31" t="inlineStr">
        <is>
          <t>Draft</t>
        </is>
      </c>
    </row>
    <row r="188" ht="15" customHeight="1" s="21">
      <c r="A188" s="28" t="n">
        <v>187</v>
      </c>
      <c r="B188" s="29" t="inlineStr">
        <is>
          <t>زهايمر</t>
        </is>
      </c>
      <c r="C188" s="30" t="inlineStr">
        <is>
          <t>Alzheimer</t>
        </is>
      </c>
      <c r="D188" s="31" t="inlineStr">
        <is>
          <t>Film</t>
        </is>
      </c>
      <c r="E188" s="31" t="n">
        <v>2010</v>
      </c>
      <c r="F188" s="28">
        <f>IF(E188="","",IF(E188&lt;1970,"Abyad w eswed",IF(E188&lt;2000,"70s-90s",IF(E188&lt;2015,"2000s","Gedeed"))))</f>
        <v/>
      </c>
      <c r="G188" s="31" t="inlineStr">
        <is>
          <t>Wasat</t>
        </is>
      </c>
      <c r="H188" s="30" t="inlineStr">
        <is>
          <t>Drama</t>
        </is>
      </c>
      <c r="I188" s="32" t="inlineStr">
        <is>
          <t>عادل إمام</t>
        </is>
      </c>
      <c r="J188" s="32" t="inlineStr">
        <is>
          <t>محمود شعيب</t>
        </is>
      </c>
      <c r="K188" s="32" t="n"/>
      <c r="L188" s="33">
        <f>IF(B188="","",IF(LEFT(TRIM(B188),2)="ال",MID(TRIM(B188),3,1),LEFT(TRIM(B188),1)))</f>
        <v/>
      </c>
      <c r="M188" s="28">
        <f>IF(B188="","",LEN(TRIM(B188))-LEN(SUBSTITUTE(TRIM(B188)," ",""))+1)</f>
        <v/>
      </c>
      <c r="N188" s="31" t="inlineStr">
        <is>
          <t>Draft</t>
        </is>
      </c>
    </row>
    <row r="189" ht="15" customHeight="1" s="21">
      <c r="A189" s="28" t="n">
        <v>188</v>
      </c>
      <c r="B189" s="29" t="inlineStr">
        <is>
          <t>سمير وشهير وبهير</t>
        </is>
      </c>
      <c r="C189" s="30" t="inlineStr">
        <is>
          <t>Samir w Shahir w Bahir</t>
        </is>
      </c>
      <c r="D189" s="31" t="inlineStr">
        <is>
          <t>Film</t>
        </is>
      </c>
      <c r="E189" s="31" t="n">
        <v>2010</v>
      </c>
      <c r="F189" s="28">
        <f>IF(E189="","",IF(E189&lt;1970,"Abyad w eswed",IF(E189&lt;2000,"70s-90s",IF(E189&lt;2015,"2000s","Gedeed"))))</f>
        <v/>
      </c>
      <c r="G189" s="31" t="inlineStr">
        <is>
          <t>Sahl</t>
        </is>
      </c>
      <c r="H189" s="30" t="inlineStr">
        <is>
          <t>Comedy</t>
        </is>
      </c>
      <c r="I189" s="32" t="inlineStr">
        <is>
          <t>أحمد فهمي</t>
        </is>
      </c>
      <c r="J189" s="32" t="n"/>
      <c r="K189" s="32" t="n"/>
      <c r="L189" s="33">
        <f>IF(B189="","",IF(LEFT(TRIM(B189),2)="ال",MID(TRIM(B189),3,1),LEFT(TRIM(B189),1)))</f>
        <v/>
      </c>
      <c r="M189" s="28">
        <f>IF(B189="","",LEN(TRIM(B189))-LEN(SUBSTITUTE(TRIM(B189)," ",""))+1)</f>
        <v/>
      </c>
      <c r="N189" s="31" t="inlineStr">
        <is>
          <t>Draft</t>
        </is>
      </c>
    </row>
    <row r="190" ht="15" customHeight="1" s="21">
      <c r="A190" s="28" t="n">
        <v>189</v>
      </c>
      <c r="B190" s="29" t="inlineStr">
        <is>
          <t>عسل إسود</t>
        </is>
      </c>
      <c r="C190" s="30" t="inlineStr">
        <is>
          <t>3asal Eswed</t>
        </is>
      </c>
      <c r="D190" s="31" t="inlineStr">
        <is>
          <t>Film</t>
        </is>
      </c>
      <c r="E190" s="31" t="n">
        <v>2010</v>
      </c>
      <c r="F190" s="28">
        <f>IF(E190="","",IF(E190&lt;1970,"Abyad w eswed",IF(E190&lt;2000,"70s-90s",IF(E190&lt;2015,"2000s","Gedeed"))))</f>
        <v/>
      </c>
      <c r="G190" s="31" t="inlineStr">
        <is>
          <t>Sahl</t>
        </is>
      </c>
      <c r="H190" s="30" t="inlineStr">
        <is>
          <t>Comedy</t>
        </is>
      </c>
      <c r="I190" s="32" t="inlineStr">
        <is>
          <t>أحمد حلمي</t>
        </is>
      </c>
      <c r="J190" s="32" t="inlineStr">
        <is>
          <t>مصري سيد العربي</t>
        </is>
      </c>
      <c r="K190" s="32" t="n"/>
      <c r="L190" s="33">
        <f>IF(B190="","",IF(LEFT(TRIM(B190),2)="ال",MID(TRIM(B190),3,1),LEFT(TRIM(B190),1)))</f>
        <v/>
      </c>
      <c r="M190" s="28">
        <f>IF(B190="","",LEN(TRIM(B190))-LEN(SUBSTITUTE(TRIM(B190)," ",""))+1)</f>
        <v/>
      </c>
      <c r="N190" s="31" t="inlineStr">
        <is>
          <t>Draft</t>
        </is>
      </c>
    </row>
    <row r="191" ht="15" customHeight="1" s="21">
      <c r="A191" s="28" t="n">
        <v>190</v>
      </c>
      <c r="B191" s="29" t="inlineStr">
        <is>
          <t>كلمني شكراً</t>
        </is>
      </c>
      <c r="C191" s="30" t="inlineStr">
        <is>
          <t>Kallemni Shokran</t>
        </is>
      </c>
      <c r="D191" s="31" t="inlineStr">
        <is>
          <t>Film</t>
        </is>
      </c>
      <c r="E191" s="31" t="n">
        <v>2010</v>
      </c>
      <c r="F191" s="28">
        <f>IF(E191="","",IF(E191&lt;1970,"Abyad w eswed",IF(E191&lt;2000,"70s-90s",IF(E191&lt;2015,"2000s","Gedeed"))))</f>
        <v/>
      </c>
      <c r="G191" s="31" t="inlineStr">
        <is>
          <t>Wasat</t>
        </is>
      </c>
      <c r="H191" s="30" t="inlineStr">
        <is>
          <t>Comedy</t>
        </is>
      </c>
      <c r="I191" s="32" t="inlineStr">
        <is>
          <t>عمرو عبد الجليل</t>
        </is>
      </c>
      <c r="J191" s="32" t="inlineStr">
        <is>
          <t>إبراهيم توشكى</t>
        </is>
      </c>
      <c r="K191" s="32" t="n"/>
      <c r="L191" s="33">
        <f>IF(B191="","",IF(LEFT(TRIM(B191),2)="ال",MID(TRIM(B191),3,1),LEFT(TRIM(B191),1)))</f>
        <v/>
      </c>
      <c r="M191" s="28">
        <f>IF(B191="","",LEN(TRIM(B191))-LEN(SUBSTITUTE(TRIM(B191)," ",""))+1)</f>
        <v/>
      </c>
      <c r="N191" s="31" t="inlineStr">
        <is>
          <t>Draft</t>
        </is>
      </c>
    </row>
    <row r="192" ht="15" customHeight="1" s="21">
      <c r="A192" s="28" t="n">
        <v>191</v>
      </c>
      <c r="B192" s="29" t="inlineStr">
        <is>
          <t>لا تراجع ولا استسلام</t>
        </is>
      </c>
      <c r="C192" s="30" t="inlineStr">
        <is>
          <t>La Tarago3 wala Esteslam</t>
        </is>
      </c>
      <c r="D192" s="31" t="inlineStr">
        <is>
          <t>Film</t>
        </is>
      </c>
      <c r="E192" s="31" t="n">
        <v>2010</v>
      </c>
      <c r="F192" s="28">
        <f>IF(E192="","",IF(E192&lt;1970,"Abyad w eswed",IF(E192&lt;2000,"70s-90s",IF(E192&lt;2015,"2000s","Gedeed"))))</f>
        <v/>
      </c>
      <c r="G192" s="31" t="inlineStr">
        <is>
          <t>Sahl</t>
        </is>
      </c>
      <c r="H192" s="30" t="inlineStr">
        <is>
          <t>Comedy</t>
        </is>
      </c>
      <c r="I192" s="32" t="inlineStr">
        <is>
          <t>أحمد مكي</t>
        </is>
      </c>
      <c r="J192" s="32" t="inlineStr">
        <is>
          <t>حزلقوم</t>
        </is>
      </c>
      <c r="K192" s="32" t="n"/>
      <c r="L192" s="33">
        <f>IF(B192="","",IF(LEFT(TRIM(B192),2)="ال",MID(TRIM(B192),3,1),LEFT(TRIM(B192),1)))</f>
        <v/>
      </c>
      <c r="M192" s="28">
        <f>IF(B192="","",LEN(TRIM(B192))-LEN(SUBSTITUTE(TRIM(B192)," ",""))+1)</f>
        <v/>
      </c>
      <c r="N192" s="31" t="inlineStr">
        <is>
          <t>Draft</t>
        </is>
      </c>
    </row>
    <row r="193" ht="15" customHeight="1" s="21">
      <c r="A193" s="28" t="n">
        <v>192</v>
      </c>
      <c r="B193" s="29" t="inlineStr">
        <is>
          <t>365 يوم سعادة</t>
        </is>
      </c>
      <c r="C193" s="30" t="inlineStr">
        <is>
          <t>365 Youm Sa3ada</t>
        </is>
      </c>
      <c r="D193" s="31" t="inlineStr">
        <is>
          <t>Film</t>
        </is>
      </c>
      <c r="E193" s="31" t="n">
        <v>2011</v>
      </c>
      <c r="F193" s="28">
        <f>IF(E193="","",IF(E193&lt;1970,"Abyad w eswed",IF(E193&lt;2000,"70s-90s",IF(E193&lt;2015,"2000s","Gedeed"))))</f>
        <v/>
      </c>
      <c r="G193" s="31" t="inlineStr">
        <is>
          <t>Wasat</t>
        </is>
      </c>
      <c r="H193" s="30" t="inlineStr">
        <is>
          <t>Comedy</t>
        </is>
      </c>
      <c r="I193" s="32" t="inlineStr">
        <is>
          <t>أحمد عز</t>
        </is>
      </c>
      <c r="J193" s="32" t="n"/>
      <c r="K193" s="32" t="n"/>
      <c r="L193" s="33">
        <f>IF(B193="","",IF(LEFT(TRIM(B193),2)="ال",MID(TRIM(B193),3,1),LEFT(TRIM(B193),1)))</f>
        <v/>
      </c>
      <c r="M193" s="28">
        <f>IF(B193="","",LEN(TRIM(B193))-LEN(SUBSTITUTE(TRIM(B193)," ",""))+1)</f>
        <v/>
      </c>
      <c r="N193" s="31" t="inlineStr">
        <is>
          <t>Draft</t>
        </is>
      </c>
    </row>
    <row r="194" ht="15" customHeight="1" s="21">
      <c r="A194" s="28" t="n">
        <v>193</v>
      </c>
      <c r="B194" s="29" t="inlineStr">
        <is>
          <t>إكس لارج</t>
        </is>
      </c>
      <c r="C194" s="30" t="inlineStr">
        <is>
          <t>X Large</t>
        </is>
      </c>
      <c r="D194" s="31" t="inlineStr">
        <is>
          <t>Film</t>
        </is>
      </c>
      <c r="E194" s="31" t="n">
        <v>2011</v>
      </c>
      <c r="F194" s="28">
        <f>IF(E194="","",IF(E194&lt;1970,"Abyad w eswed",IF(E194&lt;2000,"70s-90s",IF(E194&lt;2015,"2000s","Gedeed"))))</f>
        <v/>
      </c>
      <c r="G194" s="31" t="inlineStr">
        <is>
          <t>Sahl</t>
        </is>
      </c>
      <c r="H194" s="30" t="inlineStr">
        <is>
          <t>Comedy</t>
        </is>
      </c>
      <c r="I194" s="32" t="inlineStr">
        <is>
          <t>أحمد حلمي</t>
        </is>
      </c>
      <c r="J194" s="32" t="inlineStr">
        <is>
          <t>مجدي</t>
        </is>
      </c>
      <c r="K194" s="32" t="n"/>
      <c r="L194" s="33">
        <f>IF(B194="","",IF(LEFT(TRIM(B194),2)="ال",MID(TRIM(B194),3,1),LEFT(TRIM(B194),1)))</f>
        <v/>
      </c>
      <c r="M194" s="28">
        <f>IF(B194="","",LEN(TRIM(B194))-LEN(SUBSTITUTE(TRIM(B194)," ",""))+1)</f>
        <v/>
      </c>
      <c r="N194" s="31" t="inlineStr">
        <is>
          <t>Draft</t>
        </is>
      </c>
    </row>
    <row r="195" ht="15" customHeight="1" s="21">
      <c r="A195" s="28" t="n">
        <v>194</v>
      </c>
      <c r="B195" s="29" t="inlineStr">
        <is>
          <t>الآنسة مامي</t>
        </is>
      </c>
      <c r="C195" s="30" t="inlineStr">
        <is>
          <t>El Anesa Mamy</t>
        </is>
      </c>
      <c r="D195" s="31" t="inlineStr">
        <is>
          <t>Film</t>
        </is>
      </c>
      <c r="E195" s="31" t="n">
        <v>2011</v>
      </c>
      <c r="F195" s="28">
        <f>IF(E195="","",IF(E195&lt;1970,"Abyad w eswed",IF(E195&lt;2000,"70s-90s",IF(E195&lt;2015,"2000s","Gedeed"))))</f>
        <v/>
      </c>
      <c r="G195" s="31" t="inlineStr">
        <is>
          <t>Wasat</t>
        </is>
      </c>
      <c r="H195" s="30" t="inlineStr">
        <is>
          <t>Comedy</t>
        </is>
      </c>
      <c r="I195" s="32" t="inlineStr">
        <is>
          <t>ياسمين عبد العزيز</t>
        </is>
      </c>
      <c r="J195" s="32" t="n"/>
      <c r="K195" s="32" t="n"/>
      <c r="L195" s="33">
        <f>IF(B195="","",IF(LEFT(TRIM(B195),2)="ال",MID(TRIM(B195),3,1),LEFT(TRIM(B195),1)))</f>
        <v/>
      </c>
      <c r="M195" s="28">
        <f>IF(B195="","",LEN(TRIM(B195))-LEN(SUBSTITUTE(TRIM(B195)," ",""))+1)</f>
        <v/>
      </c>
      <c r="N195" s="31" t="inlineStr">
        <is>
          <t>Draft</t>
        </is>
      </c>
    </row>
    <row r="196" ht="15" customHeight="1" s="21">
      <c r="A196" s="28" t="n">
        <v>195</v>
      </c>
      <c r="B196" s="29" t="inlineStr">
        <is>
          <t>سيما علي بابا</t>
        </is>
      </c>
      <c r="C196" s="30" t="inlineStr">
        <is>
          <t>Cima 3ali Baba</t>
        </is>
      </c>
      <c r="D196" s="31" t="inlineStr">
        <is>
          <t>Film</t>
        </is>
      </c>
      <c r="E196" s="31" t="n">
        <v>2011</v>
      </c>
      <c r="F196" s="28">
        <f>IF(E196="","",IF(E196&lt;1970,"Abyad w eswed",IF(E196&lt;2000,"70s-90s",IF(E196&lt;2015,"2000s","Gedeed"))))</f>
        <v/>
      </c>
      <c r="G196" s="31" t="inlineStr">
        <is>
          <t>Wasat</t>
        </is>
      </c>
      <c r="H196" s="30" t="inlineStr">
        <is>
          <t>Comedy</t>
        </is>
      </c>
      <c r="I196" s="32" t="inlineStr">
        <is>
          <t>أحمد مكي</t>
        </is>
      </c>
      <c r="J196" s="32" t="n"/>
      <c r="K196" s="32" t="n"/>
      <c r="L196" s="33">
        <f>IF(B196="","",IF(LEFT(TRIM(B196),2)="ال",MID(TRIM(B196),3,1),LEFT(TRIM(B196),1)))</f>
        <v/>
      </c>
      <c r="M196" s="28">
        <f>IF(B196="","",LEN(TRIM(B196))-LEN(SUBSTITUTE(TRIM(B196)," ",""))+1)</f>
        <v/>
      </c>
      <c r="N196" s="31" t="inlineStr">
        <is>
          <t>Draft</t>
        </is>
      </c>
    </row>
    <row r="197" ht="15" customHeight="1" s="21">
      <c r="A197" s="28" t="n">
        <v>196</v>
      </c>
      <c r="B197" s="29" t="inlineStr">
        <is>
          <t>واحد صحيح</t>
        </is>
      </c>
      <c r="C197" s="30" t="inlineStr">
        <is>
          <t>Wa7ed Sa7ee7</t>
        </is>
      </c>
      <c r="D197" s="31" t="inlineStr">
        <is>
          <t>Film</t>
        </is>
      </c>
      <c r="E197" s="31" t="n">
        <v>2011</v>
      </c>
      <c r="F197" s="28">
        <f>IF(E197="","",IF(E197&lt;1970,"Abyad w eswed",IF(E197&lt;2000,"70s-90s",IF(E197&lt;2015,"2000s","Gedeed"))))</f>
        <v/>
      </c>
      <c r="G197" s="31" t="inlineStr">
        <is>
          <t>Wasat</t>
        </is>
      </c>
      <c r="H197" s="30" t="inlineStr">
        <is>
          <t>Romance</t>
        </is>
      </c>
      <c r="I197" s="32" t="inlineStr">
        <is>
          <t>هاني سلامة</t>
        </is>
      </c>
      <c r="J197" s="32" t="n"/>
      <c r="K197" s="32" t="n"/>
      <c r="L197" s="33">
        <f>IF(B197="","",IF(LEFT(TRIM(B197),2)="ال",MID(TRIM(B197),3,1),LEFT(TRIM(B197),1)))</f>
        <v/>
      </c>
      <c r="M197" s="28">
        <f>IF(B197="","",LEN(TRIM(B197))-LEN(SUBSTITUTE(TRIM(B197)," ",""))+1)</f>
        <v/>
      </c>
      <c r="N197" s="31" t="inlineStr">
        <is>
          <t>Draft</t>
        </is>
      </c>
    </row>
    <row r="198" ht="15" customHeight="1" s="21">
      <c r="A198" s="28" t="n">
        <v>197</v>
      </c>
      <c r="B198" s="29" t="inlineStr">
        <is>
          <t>الألماني</t>
        </is>
      </c>
      <c r="C198" s="30" t="inlineStr">
        <is>
          <t>El Almany</t>
        </is>
      </c>
      <c r="D198" s="31" t="inlineStr">
        <is>
          <t>Film</t>
        </is>
      </c>
      <c r="E198" s="31" t="n">
        <v>2012</v>
      </c>
      <c r="F198" s="28">
        <f>IF(E198="","",IF(E198&lt;1970,"Abyad w eswed",IF(E198&lt;2000,"70s-90s",IF(E198&lt;2015,"2000s","Gedeed"))))</f>
        <v/>
      </c>
      <c r="G198" s="31" t="inlineStr">
        <is>
          <t>Wasat</t>
        </is>
      </c>
      <c r="H198" s="30" t="inlineStr">
        <is>
          <t>Action</t>
        </is>
      </c>
      <c r="I198" s="32" t="inlineStr">
        <is>
          <t>محمد رمضان</t>
        </is>
      </c>
      <c r="J198" s="32" t="n"/>
      <c r="K198" s="32" t="n"/>
      <c r="L198" s="33">
        <f>IF(B198="","",IF(LEFT(TRIM(B198),2)="ال",MID(TRIM(B198),3,1),LEFT(TRIM(B198),1)))</f>
        <v/>
      </c>
      <c r="M198" s="28">
        <f>IF(B198="","",LEN(TRIM(B198))-LEN(SUBSTITUTE(TRIM(B198)," ",""))+1)</f>
        <v/>
      </c>
      <c r="N198" s="31" t="inlineStr">
        <is>
          <t>Draft</t>
        </is>
      </c>
    </row>
    <row r="199" ht="15" customHeight="1" s="21">
      <c r="A199" s="28" t="n">
        <v>198</v>
      </c>
      <c r="B199" s="29" t="inlineStr">
        <is>
          <t>المصلحة</t>
        </is>
      </c>
      <c r="C199" s="30" t="inlineStr">
        <is>
          <t>El Masla7a</t>
        </is>
      </c>
      <c r="D199" s="31" t="inlineStr">
        <is>
          <t>Film</t>
        </is>
      </c>
      <c r="E199" s="31" t="n">
        <v>2012</v>
      </c>
      <c r="F199" s="28">
        <f>IF(E199="","",IF(E199&lt;1970,"Abyad w eswed",IF(E199&lt;2000,"70s-90s",IF(E199&lt;2015,"2000s","Gedeed"))))</f>
        <v/>
      </c>
      <c r="G199" s="31" t="inlineStr">
        <is>
          <t>Wasat</t>
        </is>
      </c>
      <c r="H199" s="30" t="inlineStr">
        <is>
          <t>Action</t>
        </is>
      </c>
      <c r="I199" s="32" t="inlineStr">
        <is>
          <t>أحمد السقا</t>
        </is>
      </c>
      <c r="J199" s="32" t="n"/>
      <c r="K199" s="32" t="n"/>
      <c r="L199" s="33">
        <f>IF(B199="","",IF(LEFT(TRIM(B199),2)="ال",MID(TRIM(B199),3,1),LEFT(TRIM(B199),1)))</f>
        <v/>
      </c>
      <c r="M199" s="28">
        <f>IF(B199="","",LEN(TRIM(B199))-LEN(SUBSTITUTE(TRIM(B199)," ",""))+1)</f>
        <v/>
      </c>
      <c r="N199" s="31" t="inlineStr">
        <is>
          <t>Draft</t>
        </is>
      </c>
    </row>
    <row r="200" ht="15" customHeight="1" s="21">
      <c r="A200" s="28" t="n">
        <v>199</v>
      </c>
      <c r="B200" s="29" t="inlineStr">
        <is>
          <t>بنات العم</t>
        </is>
      </c>
      <c r="C200" s="30" t="inlineStr">
        <is>
          <t>Banat El 3am</t>
        </is>
      </c>
      <c r="D200" s="31" t="inlineStr">
        <is>
          <t>Film</t>
        </is>
      </c>
      <c r="E200" s="31" t="n">
        <v>2012</v>
      </c>
      <c r="F200" s="28">
        <f>IF(E200="","",IF(E200&lt;1970,"Abyad w eswed",IF(E200&lt;2000,"70s-90s",IF(E200&lt;2015,"2000s","Gedeed"))))</f>
        <v/>
      </c>
      <c r="G200" s="31" t="inlineStr">
        <is>
          <t>Wasat</t>
        </is>
      </c>
      <c r="H200" s="30" t="inlineStr">
        <is>
          <t>Comedy</t>
        </is>
      </c>
      <c r="I200" s="32" t="inlineStr">
        <is>
          <t>أحمد فهمي</t>
        </is>
      </c>
      <c r="J200" s="32" t="n"/>
      <c r="K200" s="32" t="n"/>
      <c r="L200" s="33">
        <f>IF(B200="","",IF(LEFT(TRIM(B200),2)="ال",MID(TRIM(B200),3,1),LEFT(TRIM(B200),1)))</f>
        <v/>
      </c>
      <c r="M200" s="28">
        <f>IF(B200="","",LEN(TRIM(B200))-LEN(SUBSTITUTE(TRIM(B200)," ",""))+1)</f>
        <v/>
      </c>
      <c r="N200" s="31" t="inlineStr">
        <is>
          <t>Draft</t>
        </is>
      </c>
    </row>
    <row r="201" ht="15" customHeight="1" s="21">
      <c r="A201" s="28" t="n">
        <v>200</v>
      </c>
      <c r="B201" s="29" t="inlineStr">
        <is>
          <t>جيم أوفر</t>
        </is>
      </c>
      <c r="C201" s="30" t="inlineStr">
        <is>
          <t>Game Over</t>
        </is>
      </c>
      <c r="D201" s="31" t="inlineStr">
        <is>
          <t>Film</t>
        </is>
      </c>
      <c r="E201" s="31" t="n">
        <v>2012</v>
      </c>
      <c r="F201" s="28">
        <f>IF(E201="","",IF(E201&lt;1970,"Abyad w eswed",IF(E201&lt;2000,"70s-90s",IF(E201&lt;2015,"2000s","Gedeed"))))</f>
        <v/>
      </c>
      <c r="G201" s="31" t="inlineStr">
        <is>
          <t>Wasat</t>
        </is>
      </c>
      <c r="H201" s="30" t="inlineStr">
        <is>
          <t>Comedy</t>
        </is>
      </c>
      <c r="I201" s="32" t="inlineStr">
        <is>
          <t>يسرا</t>
        </is>
      </c>
      <c r="J201" s="32" t="n"/>
      <c r="K201" s="32" t="n"/>
      <c r="L201" s="33">
        <f>IF(B201="","",IF(LEFT(TRIM(B201),2)="ال",MID(TRIM(B201),3,1),LEFT(TRIM(B201),1)))</f>
        <v/>
      </c>
      <c r="M201" s="28">
        <f>IF(B201="","",LEN(TRIM(B201))-LEN(SUBSTITUTE(TRIM(B201)," ",""))+1)</f>
        <v/>
      </c>
      <c r="N201" s="31" t="inlineStr">
        <is>
          <t>Draft</t>
        </is>
      </c>
    </row>
    <row r="202" ht="15" customHeight="1" s="21">
      <c r="A202" s="28" t="n">
        <v>201</v>
      </c>
      <c r="B202" s="29" t="inlineStr">
        <is>
          <t>ساعة ونص</t>
        </is>
      </c>
      <c r="C202" s="30" t="inlineStr">
        <is>
          <t>Sa3a w Nos</t>
        </is>
      </c>
      <c r="D202" s="31" t="inlineStr">
        <is>
          <t>Film</t>
        </is>
      </c>
      <c r="E202" s="31" t="n">
        <v>2012</v>
      </c>
      <c r="F202" s="28">
        <f>IF(E202="","",IF(E202&lt;1970,"Abyad w eswed",IF(E202&lt;2000,"70s-90s",IF(E202&lt;2015,"2000s","Gedeed"))))</f>
        <v/>
      </c>
      <c r="G202" s="31" t="inlineStr">
        <is>
          <t>Sa3b</t>
        </is>
      </c>
      <c r="H202" s="30" t="inlineStr">
        <is>
          <t>Drama</t>
        </is>
      </c>
      <c r="I202" s="32" t="inlineStr">
        <is>
          <t>فتحي عبد الوهاب</t>
        </is>
      </c>
      <c r="J202" s="32" t="n"/>
      <c r="K202" s="32" t="n"/>
      <c r="L202" s="33">
        <f>IF(B202="","",IF(LEFT(TRIM(B202),2)="ال",MID(TRIM(B202),3,1),LEFT(TRIM(B202),1)))</f>
        <v/>
      </c>
      <c r="M202" s="28">
        <f>IF(B202="","",LEN(TRIM(B202))-LEN(SUBSTITUTE(TRIM(B202)," ",""))+1)</f>
        <v/>
      </c>
      <c r="N202" s="31" t="inlineStr">
        <is>
          <t>Rage3ha</t>
        </is>
      </c>
    </row>
    <row r="203" ht="15" customHeight="1" s="21">
      <c r="A203" s="28" t="n">
        <v>202</v>
      </c>
      <c r="B203" s="29" t="inlineStr">
        <is>
          <t>عبده موتة</t>
        </is>
      </c>
      <c r="C203" s="30" t="inlineStr">
        <is>
          <t>3abdo Mouta</t>
        </is>
      </c>
      <c r="D203" s="31" t="inlineStr">
        <is>
          <t>Film</t>
        </is>
      </c>
      <c r="E203" s="31" t="n">
        <v>2012</v>
      </c>
      <c r="F203" s="28">
        <f>IF(E203="","",IF(E203&lt;1970,"Abyad w eswed",IF(E203&lt;2000,"70s-90s",IF(E203&lt;2015,"2000s","Gedeed"))))</f>
        <v/>
      </c>
      <c r="G203" s="31" t="inlineStr">
        <is>
          <t>Wasat</t>
        </is>
      </c>
      <c r="H203" s="30" t="inlineStr">
        <is>
          <t>Action</t>
        </is>
      </c>
      <c r="I203" s="32" t="inlineStr">
        <is>
          <t>محمد رمضان</t>
        </is>
      </c>
      <c r="J203" s="32" t="inlineStr">
        <is>
          <t>عبده موتة</t>
        </is>
      </c>
      <c r="K203" s="32" t="n"/>
      <c r="L203" s="33">
        <f>IF(B203="","",IF(LEFT(TRIM(B203),2)="ال",MID(TRIM(B203),3,1),LEFT(TRIM(B203),1)))</f>
        <v/>
      </c>
      <c r="M203" s="28">
        <f>IF(B203="","",LEN(TRIM(B203))-LEN(SUBSTITUTE(TRIM(B203)," ",""))+1)</f>
        <v/>
      </c>
      <c r="N203" s="31" t="inlineStr">
        <is>
          <t>Draft</t>
        </is>
      </c>
    </row>
    <row r="204" ht="15" customHeight="1" s="21">
      <c r="A204" s="28" t="n">
        <v>203</v>
      </c>
      <c r="B204" s="29" t="inlineStr">
        <is>
          <t>الحفلة</t>
        </is>
      </c>
      <c r="C204" s="30" t="inlineStr">
        <is>
          <t>El 7afla</t>
        </is>
      </c>
      <c r="D204" s="31" t="inlineStr">
        <is>
          <t>Film</t>
        </is>
      </c>
      <c r="E204" s="31" t="n">
        <v>2013</v>
      </c>
      <c r="F204" s="28">
        <f>IF(E204="","",IF(E204&lt;1970,"Abyad w eswed",IF(E204&lt;2000,"70s-90s",IF(E204&lt;2015,"2000s","Gedeed"))))</f>
        <v/>
      </c>
      <c r="G204" s="31" t="inlineStr">
        <is>
          <t>Wasat</t>
        </is>
      </c>
      <c r="H204" s="30" t="inlineStr">
        <is>
          <t>Thriller</t>
        </is>
      </c>
      <c r="I204" s="32" t="inlineStr">
        <is>
          <t>أحمد عز</t>
        </is>
      </c>
      <c r="J204" s="32" t="n"/>
      <c r="K204" s="32" t="n"/>
      <c r="L204" s="33">
        <f>IF(B204="","",IF(LEFT(TRIM(B204),2)="ال",MID(TRIM(B204),3,1),LEFT(TRIM(B204),1)))</f>
        <v/>
      </c>
      <c r="M204" s="28">
        <f>IF(B204="","",LEN(TRIM(B204))-LEN(SUBSTITUTE(TRIM(B204)," ",""))+1)</f>
        <v/>
      </c>
      <c r="N204" s="31" t="inlineStr">
        <is>
          <t>Draft</t>
        </is>
      </c>
    </row>
    <row r="205" ht="15" customHeight="1" s="21">
      <c r="A205" s="28" t="n">
        <v>204</v>
      </c>
      <c r="B205" s="29" t="inlineStr">
        <is>
          <t>سمير أبو النيل</t>
        </is>
      </c>
      <c r="C205" s="30" t="inlineStr">
        <is>
          <t>Samir Abo El Nil</t>
        </is>
      </c>
      <c r="D205" s="31" t="inlineStr">
        <is>
          <t>Film</t>
        </is>
      </c>
      <c r="E205" s="31" t="n">
        <v>2013</v>
      </c>
      <c r="F205" s="28">
        <f>IF(E205="","",IF(E205&lt;1970,"Abyad w eswed",IF(E205&lt;2000,"70s-90s",IF(E205&lt;2015,"2000s","Gedeed"))))</f>
        <v/>
      </c>
      <c r="G205" s="31" t="inlineStr">
        <is>
          <t>Wasat</t>
        </is>
      </c>
      <c r="H205" s="30" t="inlineStr">
        <is>
          <t>Comedy</t>
        </is>
      </c>
      <c r="I205" s="32" t="inlineStr">
        <is>
          <t>أحمد مكي</t>
        </is>
      </c>
      <c r="J205" s="32" t="inlineStr">
        <is>
          <t>سمير</t>
        </is>
      </c>
      <c r="K205" s="32" t="n"/>
      <c r="L205" s="33">
        <f>IF(B205="","",IF(LEFT(TRIM(B205),2)="ال",MID(TRIM(B205),3,1),LEFT(TRIM(B205),1)))</f>
        <v/>
      </c>
      <c r="M205" s="28">
        <f>IF(B205="","",LEN(TRIM(B205))-LEN(SUBSTITUTE(TRIM(B205)," ",""))+1)</f>
        <v/>
      </c>
      <c r="N205" s="31" t="inlineStr">
        <is>
          <t>Draft</t>
        </is>
      </c>
    </row>
    <row r="206" ht="15" customHeight="1" s="21">
      <c r="A206" s="28" t="n">
        <v>205</v>
      </c>
      <c r="B206" s="29" t="inlineStr">
        <is>
          <t>على جثتي</t>
        </is>
      </c>
      <c r="C206" s="30" t="inlineStr">
        <is>
          <t>3ala Gosseti</t>
        </is>
      </c>
      <c r="D206" s="31" t="inlineStr">
        <is>
          <t>Film</t>
        </is>
      </c>
      <c r="E206" s="31" t="n">
        <v>2013</v>
      </c>
      <c r="F206" s="28">
        <f>IF(E206="","",IF(E206&lt;1970,"Abyad w eswed",IF(E206&lt;2000,"70s-90s",IF(E206&lt;2015,"2000s","Gedeed"))))</f>
        <v/>
      </c>
      <c r="G206" s="31" t="inlineStr">
        <is>
          <t>Wasat</t>
        </is>
      </c>
      <c r="H206" s="30" t="inlineStr">
        <is>
          <t>Comedy</t>
        </is>
      </c>
      <c r="I206" s="32" t="inlineStr">
        <is>
          <t>أحمد حلمي</t>
        </is>
      </c>
      <c r="J206" s="32" t="n"/>
      <c r="K206" s="32" t="n"/>
      <c r="L206" s="33">
        <f>IF(B206="","",IF(LEFT(TRIM(B206),2)="ال",MID(TRIM(B206),3,1),LEFT(TRIM(B206),1)))</f>
        <v/>
      </c>
      <c r="M206" s="28">
        <f>IF(B206="","",LEN(TRIM(B206))-LEN(SUBSTITUTE(TRIM(B206)," ",""))+1)</f>
        <v/>
      </c>
      <c r="N206" s="31" t="inlineStr">
        <is>
          <t>Draft</t>
        </is>
      </c>
    </row>
    <row r="207" ht="15" customHeight="1" s="21">
      <c r="A207" s="28" t="n">
        <v>206</v>
      </c>
      <c r="B207" s="29" t="inlineStr">
        <is>
          <t>قلب الأسد</t>
        </is>
      </c>
      <c r="C207" s="30" t="inlineStr">
        <is>
          <t>2alb El Asad</t>
        </is>
      </c>
      <c r="D207" s="31" t="inlineStr">
        <is>
          <t>Film</t>
        </is>
      </c>
      <c r="E207" s="31" t="n">
        <v>2013</v>
      </c>
      <c r="F207" s="28">
        <f>IF(E207="","",IF(E207&lt;1970,"Abyad w eswed",IF(E207&lt;2000,"70s-90s",IF(E207&lt;2015,"2000s","Gedeed"))))</f>
        <v/>
      </c>
      <c r="G207" s="31" t="inlineStr">
        <is>
          <t>Wasat</t>
        </is>
      </c>
      <c r="H207" s="30" t="inlineStr">
        <is>
          <t>Action</t>
        </is>
      </c>
      <c r="I207" s="32" t="inlineStr">
        <is>
          <t>محمد رمضان</t>
        </is>
      </c>
      <c r="J207" s="32" t="inlineStr">
        <is>
          <t>فارس</t>
        </is>
      </c>
      <c r="K207" s="32" t="n"/>
      <c r="L207" s="33">
        <f>IF(B207="","",IF(LEFT(TRIM(B207),2)="ال",MID(TRIM(B207),3,1),LEFT(TRIM(B207),1)))</f>
        <v/>
      </c>
      <c r="M207" s="28">
        <f>IF(B207="","",LEN(TRIM(B207))-LEN(SUBSTITUTE(TRIM(B207)," ",""))+1)</f>
        <v/>
      </c>
      <c r="N207" s="31" t="inlineStr">
        <is>
          <t>Draft</t>
        </is>
      </c>
    </row>
    <row r="208" ht="15" customHeight="1" s="21">
      <c r="A208" s="28" t="n">
        <v>207</v>
      </c>
      <c r="B208" s="29" t="inlineStr">
        <is>
          <t>الحرب العالمية الثالثة</t>
        </is>
      </c>
      <c r="C208" s="30" t="inlineStr">
        <is>
          <t>El 7arb El 3alameya El Talta</t>
        </is>
      </c>
      <c r="D208" s="31" t="inlineStr">
        <is>
          <t>Film</t>
        </is>
      </c>
      <c r="E208" s="31" t="n">
        <v>2014</v>
      </c>
      <c r="F208" s="28">
        <f>IF(E208="","",IF(E208&lt;1970,"Abyad w eswed",IF(E208&lt;2000,"70s-90s",IF(E208&lt;2015,"2000s","Gedeed"))))</f>
        <v/>
      </c>
      <c r="G208" s="31" t="inlineStr">
        <is>
          <t>Sahl</t>
        </is>
      </c>
      <c r="H208" s="30" t="inlineStr">
        <is>
          <t>Comedy</t>
        </is>
      </c>
      <c r="I208" s="32" t="inlineStr">
        <is>
          <t>أحمد فهمي</t>
        </is>
      </c>
      <c r="J208" s="32" t="n"/>
      <c r="K208" s="32" t="n"/>
      <c r="L208" s="33">
        <f>IF(B208="","",IF(LEFT(TRIM(B208),2)="ال",MID(TRIM(B208),3,1),LEFT(TRIM(B208),1)))</f>
        <v/>
      </c>
      <c r="M208" s="28">
        <f>IF(B208="","",LEN(TRIM(B208))-LEN(SUBSTITUTE(TRIM(B208)," ",""))+1)</f>
        <v/>
      </c>
      <c r="N208" s="31" t="inlineStr">
        <is>
          <t>Draft</t>
        </is>
      </c>
    </row>
    <row r="209" ht="15" customHeight="1" s="21">
      <c r="A209" s="28" t="n">
        <v>208</v>
      </c>
      <c r="B209" s="29" t="inlineStr">
        <is>
          <t>الفيل الأزرق</t>
        </is>
      </c>
      <c r="C209" s="30" t="inlineStr">
        <is>
          <t>El Feel El Azra2</t>
        </is>
      </c>
      <c r="D209" s="31" t="inlineStr">
        <is>
          <t>Film</t>
        </is>
      </c>
      <c r="E209" s="31" t="n">
        <v>2014</v>
      </c>
      <c r="F209" s="28">
        <f>IF(E209="","",IF(E209&lt;1970,"Abyad w eswed",IF(E209&lt;2000,"70s-90s",IF(E209&lt;2015,"2000s","Gedeed"))))</f>
        <v/>
      </c>
      <c r="G209" s="31" t="inlineStr">
        <is>
          <t>Sahl</t>
        </is>
      </c>
      <c r="H209" s="30" t="inlineStr">
        <is>
          <t>Thriller</t>
        </is>
      </c>
      <c r="I209" s="32" t="inlineStr">
        <is>
          <t>كريم عبد العزيز</t>
        </is>
      </c>
      <c r="J209" s="32" t="inlineStr">
        <is>
          <t>يحيى</t>
        </is>
      </c>
      <c r="K209" s="32" t="n"/>
      <c r="L209" s="33">
        <f>IF(B209="","",IF(LEFT(TRIM(B209),2)="ال",MID(TRIM(B209),3,1),LEFT(TRIM(B209),1)))</f>
        <v/>
      </c>
      <c r="M209" s="28">
        <f>IF(B209="","",LEN(TRIM(B209))-LEN(SUBSTITUTE(TRIM(B209)," ",""))+1)</f>
        <v/>
      </c>
      <c r="N209" s="31" t="inlineStr">
        <is>
          <t>Draft</t>
        </is>
      </c>
    </row>
    <row r="210" ht="15" customHeight="1" s="21">
      <c r="A210" s="28" t="n">
        <v>209</v>
      </c>
      <c r="B210" s="29" t="inlineStr">
        <is>
          <t>صنع في مصر</t>
        </is>
      </c>
      <c r="C210" s="30" t="inlineStr">
        <is>
          <t>Son3 fi Masr</t>
        </is>
      </c>
      <c r="D210" s="31" t="inlineStr">
        <is>
          <t>Film</t>
        </is>
      </c>
      <c r="E210" s="31" t="n">
        <v>2014</v>
      </c>
      <c r="F210" s="28">
        <f>IF(E210="","",IF(E210&lt;1970,"Abyad w eswed",IF(E210&lt;2000,"70s-90s",IF(E210&lt;2015,"2000s","Gedeed"))))</f>
        <v/>
      </c>
      <c r="G210" s="31" t="inlineStr">
        <is>
          <t>Wasat</t>
        </is>
      </c>
      <c r="H210" s="30" t="inlineStr">
        <is>
          <t>Comedy</t>
        </is>
      </c>
      <c r="I210" s="32" t="inlineStr">
        <is>
          <t>أحمد حلمي</t>
        </is>
      </c>
      <c r="J210" s="32" t="n"/>
      <c r="K210" s="32" t="n"/>
      <c r="L210" s="33">
        <f>IF(B210="","",IF(LEFT(TRIM(B210),2)="ال",MID(TRIM(B210),3,1),LEFT(TRIM(B210),1)))</f>
        <v/>
      </c>
      <c r="M210" s="28">
        <f>IF(B210="","",LEN(TRIM(B210))-LEN(SUBSTITUTE(TRIM(B210)," ",""))+1)</f>
        <v/>
      </c>
      <c r="N210" s="31" t="inlineStr">
        <is>
          <t>Draft</t>
        </is>
      </c>
    </row>
    <row r="211" ht="15" customHeight="1" s="21">
      <c r="A211" s="28" t="n">
        <v>210</v>
      </c>
      <c r="B211" s="29" t="inlineStr">
        <is>
          <t>فتاة المصنع</t>
        </is>
      </c>
      <c r="C211" s="30" t="inlineStr">
        <is>
          <t>Fatat El Masna3</t>
        </is>
      </c>
      <c r="D211" s="31" t="inlineStr">
        <is>
          <t>Film</t>
        </is>
      </c>
      <c r="E211" s="31" t="n">
        <v>2014</v>
      </c>
      <c r="F211" s="28">
        <f>IF(E211="","",IF(E211&lt;1970,"Abyad w eswed",IF(E211&lt;2000,"70s-90s",IF(E211&lt;2015,"2000s","Gedeed"))))</f>
        <v/>
      </c>
      <c r="G211" s="31" t="inlineStr">
        <is>
          <t>Sa3b</t>
        </is>
      </c>
      <c r="H211" s="30" t="inlineStr">
        <is>
          <t>Drama</t>
        </is>
      </c>
      <c r="I211" s="32" t="inlineStr">
        <is>
          <t>ياسمين رئيس</t>
        </is>
      </c>
      <c r="J211" s="32" t="inlineStr">
        <is>
          <t>هيام</t>
        </is>
      </c>
      <c r="K211" s="32" t="n"/>
      <c r="L211" s="33">
        <f>IF(B211="","",IF(LEFT(TRIM(B211),2)="ال",MID(TRIM(B211),3,1),LEFT(TRIM(B211),1)))</f>
        <v/>
      </c>
      <c r="M211" s="28">
        <f>IF(B211="","",LEN(TRIM(B211))-LEN(SUBSTITUTE(TRIM(B211)," ",""))+1)</f>
        <v/>
      </c>
      <c r="N211" s="31" t="inlineStr">
        <is>
          <t>Draft</t>
        </is>
      </c>
    </row>
    <row r="212" ht="15" customHeight="1" s="21">
      <c r="A212" s="28" t="n">
        <v>211</v>
      </c>
      <c r="B212" s="29" t="inlineStr">
        <is>
          <t>شد أجزاء</t>
        </is>
      </c>
      <c r="C212" s="30" t="inlineStr">
        <is>
          <t>Shed Agza2</t>
        </is>
      </c>
      <c r="D212" s="31" t="inlineStr">
        <is>
          <t>Film</t>
        </is>
      </c>
      <c r="E212" s="31" t="n">
        <v>2015</v>
      </c>
      <c r="F212" s="28">
        <f>IF(E212="","",IF(E212&lt;1970,"Abyad w eswed",IF(E212&lt;2000,"70s-90s",IF(E212&lt;2015,"2000s","Gedeed"))))</f>
        <v/>
      </c>
      <c r="G212" s="31" t="inlineStr">
        <is>
          <t>Wasat</t>
        </is>
      </c>
      <c r="H212" s="30" t="inlineStr">
        <is>
          <t>Action</t>
        </is>
      </c>
      <c r="I212" s="32" t="inlineStr">
        <is>
          <t>محمد رمضان</t>
        </is>
      </c>
      <c r="J212" s="32" t="n"/>
      <c r="K212" s="32" t="n"/>
      <c r="L212" s="33">
        <f>IF(B212="","",IF(LEFT(TRIM(B212),2)="ال",MID(TRIM(B212),3,1),LEFT(TRIM(B212),1)))</f>
        <v/>
      </c>
      <c r="M212" s="28">
        <f>IF(B212="","",LEN(TRIM(B212))-LEN(SUBSTITUTE(TRIM(B212)," ",""))+1)</f>
        <v/>
      </c>
      <c r="N212" s="31" t="inlineStr">
        <is>
          <t>Draft</t>
        </is>
      </c>
    </row>
    <row r="213" ht="15" customHeight="1" s="21">
      <c r="A213" s="28" t="n">
        <v>212</v>
      </c>
      <c r="B213" s="29" t="inlineStr">
        <is>
          <t>كابتن مصر</t>
        </is>
      </c>
      <c r="C213" s="30" t="inlineStr">
        <is>
          <t>Captain Masr</t>
        </is>
      </c>
      <c r="D213" s="31" t="inlineStr">
        <is>
          <t>Film</t>
        </is>
      </c>
      <c r="E213" s="31" t="n">
        <v>2015</v>
      </c>
      <c r="F213" s="28">
        <f>IF(E213="","",IF(E213&lt;1970,"Abyad w eswed",IF(E213&lt;2000,"70s-90s",IF(E213&lt;2015,"2000s","Gedeed"))))</f>
        <v/>
      </c>
      <c r="G213" s="31" t="inlineStr">
        <is>
          <t>Wasat</t>
        </is>
      </c>
      <c r="H213" s="30" t="inlineStr">
        <is>
          <t>Comedy</t>
        </is>
      </c>
      <c r="I213" s="32" t="inlineStr">
        <is>
          <t>محمد إمام</t>
        </is>
      </c>
      <c r="J213" s="32" t="n"/>
      <c r="K213" s="32" t="n"/>
      <c r="L213" s="33">
        <f>IF(B213="","",IF(LEFT(TRIM(B213),2)="ال",MID(TRIM(B213),3,1),LEFT(TRIM(B213),1)))</f>
        <v/>
      </c>
      <c r="M213" s="28">
        <f>IF(B213="","",LEN(TRIM(B213))-LEN(SUBSTITUTE(TRIM(B213)," ",""))+1)</f>
        <v/>
      </c>
      <c r="N213" s="31" t="inlineStr">
        <is>
          <t>Draft</t>
        </is>
      </c>
    </row>
    <row r="214" ht="15" customHeight="1" s="21">
      <c r="A214" s="28" t="n">
        <v>213</v>
      </c>
      <c r="B214" s="29" t="inlineStr">
        <is>
          <t>ولاد رزق</t>
        </is>
      </c>
      <c r="C214" s="30" t="inlineStr">
        <is>
          <t>Welad Rezq</t>
        </is>
      </c>
      <c r="D214" s="31" t="inlineStr">
        <is>
          <t>Film</t>
        </is>
      </c>
      <c r="E214" s="31" t="n">
        <v>2015</v>
      </c>
      <c r="F214" s="28">
        <f>IF(E214="","",IF(E214&lt;1970,"Abyad w eswed",IF(E214&lt;2000,"70s-90s",IF(E214&lt;2015,"2000s","Gedeed"))))</f>
        <v/>
      </c>
      <c r="G214" s="31" t="inlineStr">
        <is>
          <t>Sahl</t>
        </is>
      </c>
      <c r="H214" s="30" t="inlineStr">
        <is>
          <t>Action</t>
        </is>
      </c>
      <c r="I214" s="32" t="inlineStr">
        <is>
          <t>أحمد عز</t>
        </is>
      </c>
      <c r="J214" s="32" t="n"/>
      <c r="K214" s="32" t="n"/>
      <c r="L214" s="33">
        <f>IF(B214="","",IF(LEFT(TRIM(B214),2)="ال",MID(TRIM(B214),3,1),LEFT(TRIM(B214),1)))</f>
        <v/>
      </c>
      <c r="M214" s="28">
        <f>IF(B214="","",LEN(TRIM(B214))-LEN(SUBSTITUTE(TRIM(B214)," ",""))+1)</f>
        <v/>
      </c>
      <c r="N214" s="31" t="inlineStr">
        <is>
          <t>Draft</t>
        </is>
      </c>
    </row>
    <row r="215" ht="15" customHeight="1" s="21">
      <c r="A215" s="28" t="n">
        <v>214</v>
      </c>
      <c r="B215" s="29" t="inlineStr">
        <is>
          <t>اشتباك</t>
        </is>
      </c>
      <c r="C215" s="30" t="inlineStr">
        <is>
          <t>Eshtebak</t>
        </is>
      </c>
      <c r="D215" s="31" t="inlineStr">
        <is>
          <t>Film</t>
        </is>
      </c>
      <c r="E215" s="31" t="n">
        <v>2016</v>
      </c>
      <c r="F215" s="28">
        <f>IF(E215="","",IF(E215&lt;1970,"Abyad w eswed",IF(E215&lt;2000,"70s-90s",IF(E215&lt;2015,"2000s","Gedeed"))))</f>
        <v/>
      </c>
      <c r="G215" s="31" t="inlineStr">
        <is>
          <t>Sa3b</t>
        </is>
      </c>
      <c r="H215" s="30" t="inlineStr">
        <is>
          <t>Drama</t>
        </is>
      </c>
      <c r="I215" s="32" t="inlineStr">
        <is>
          <t>نيللي كريم</t>
        </is>
      </c>
      <c r="J215" s="32" t="n"/>
      <c r="K215" s="32" t="n"/>
      <c r="L215" s="33">
        <f>IF(B215="","",IF(LEFT(TRIM(B215),2)="ال",MID(TRIM(B215),3,1),LEFT(TRIM(B215),1)))</f>
        <v/>
      </c>
      <c r="M215" s="28">
        <f>IF(B215="","",LEN(TRIM(B215))-LEN(SUBSTITUTE(TRIM(B215)," ",""))+1)</f>
        <v/>
      </c>
      <c r="N215" s="31" t="inlineStr">
        <is>
          <t>Draft</t>
        </is>
      </c>
    </row>
    <row r="216" ht="15" customHeight="1" s="21">
      <c r="A216" s="28" t="n">
        <v>215</v>
      </c>
      <c r="B216" s="29" t="inlineStr">
        <is>
          <t>حملة فريزر</t>
        </is>
      </c>
      <c r="C216" s="30" t="inlineStr">
        <is>
          <t>7amlet Freezer</t>
        </is>
      </c>
      <c r="D216" s="31" t="inlineStr">
        <is>
          <t>Film</t>
        </is>
      </c>
      <c r="E216" s="31" t="n">
        <v>2016</v>
      </c>
      <c r="F216" s="28">
        <f>IF(E216="","",IF(E216&lt;1970,"Abyad w eswed",IF(E216&lt;2000,"70s-90s",IF(E216&lt;2015,"2000s","Gedeed"))))</f>
        <v/>
      </c>
      <c r="G216" s="31" t="inlineStr">
        <is>
          <t>Wasat</t>
        </is>
      </c>
      <c r="H216" s="30" t="inlineStr">
        <is>
          <t>Comedy</t>
        </is>
      </c>
      <c r="I216" s="32" t="inlineStr">
        <is>
          <t>هشام ماجد</t>
        </is>
      </c>
      <c r="J216" s="32" t="n"/>
      <c r="K216" s="32" t="n"/>
      <c r="L216" s="33">
        <f>IF(B216="","",IF(LEFT(TRIM(B216),2)="ال",MID(TRIM(B216),3,1),LEFT(TRIM(B216),1)))</f>
        <v/>
      </c>
      <c r="M216" s="28">
        <f>IF(B216="","",LEN(TRIM(B216))-LEN(SUBSTITUTE(TRIM(B216)," ",""))+1)</f>
        <v/>
      </c>
      <c r="N216" s="31" t="inlineStr">
        <is>
          <t>Draft</t>
        </is>
      </c>
    </row>
    <row r="217" ht="15" customHeight="1" s="21">
      <c r="A217" s="28" t="n">
        <v>216</v>
      </c>
      <c r="B217" s="29" t="inlineStr">
        <is>
          <t>لف ودوران</t>
        </is>
      </c>
      <c r="C217" s="30" t="inlineStr">
        <is>
          <t>Laff w Dawaran</t>
        </is>
      </c>
      <c r="D217" s="31" t="inlineStr">
        <is>
          <t>Film</t>
        </is>
      </c>
      <c r="E217" s="31" t="n">
        <v>2016</v>
      </c>
      <c r="F217" s="28">
        <f>IF(E217="","",IF(E217&lt;1970,"Abyad w eswed",IF(E217&lt;2000,"70s-90s",IF(E217&lt;2015,"2000s","Gedeed"))))</f>
        <v/>
      </c>
      <c r="G217" s="31" t="inlineStr">
        <is>
          <t>Wasat</t>
        </is>
      </c>
      <c r="H217" s="30" t="inlineStr">
        <is>
          <t>Comedy</t>
        </is>
      </c>
      <c r="I217" s="32" t="inlineStr">
        <is>
          <t>أحمد حلمي</t>
        </is>
      </c>
      <c r="J217" s="32" t="n"/>
      <c r="K217" s="32" t="n"/>
      <c r="L217" s="33">
        <f>IF(B217="","",IF(LEFT(TRIM(B217),2)="ال",MID(TRIM(B217),3,1),LEFT(TRIM(B217),1)))</f>
        <v/>
      </c>
      <c r="M217" s="28">
        <f>IF(B217="","",LEN(TRIM(B217))-LEN(SUBSTITUTE(TRIM(B217)," ",""))+1)</f>
        <v/>
      </c>
      <c r="N217" s="31" t="inlineStr">
        <is>
          <t>Draft</t>
        </is>
      </c>
    </row>
    <row r="218" ht="15" customHeight="1" s="21">
      <c r="A218" s="28" t="n">
        <v>217</v>
      </c>
      <c r="B218" s="29" t="inlineStr">
        <is>
          <t>هيبتا</t>
        </is>
      </c>
      <c r="C218" s="30" t="inlineStr">
        <is>
          <t>Hepta</t>
        </is>
      </c>
      <c r="D218" s="31" t="inlineStr">
        <is>
          <t>Film</t>
        </is>
      </c>
      <c r="E218" s="31" t="n">
        <v>2016</v>
      </c>
      <c r="F218" s="28">
        <f>IF(E218="","",IF(E218&lt;1970,"Abyad w eswed",IF(E218&lt;2000,"70s-90s",IF(E218&lt;2015,"2000s","Gedeed"))))</f>
        <v/>
      </c>
      <c r="G218" s="31" t="inlineStr">
        <is>
          <t>Wasat</t>
        </is>
      </c>
      <c r="H218" s="30" t="inlineStr">
        <is>
          <t>Romance</t>
        </is>
      </c>
      <c r="I218" s="32" t="inlineStr">
        <is>
          <t>عمرو يوسف</t>
        </is>
      </c>
      <c r="J218" s="32" t="n"/>
      <c r="K218" s="32" t="n"/>
      <c r="L218" s="33">
        <f>IF(B218="","",IF(LEFT(TRIM(B218),2)="ال",MID(TRIM(B218),3,1),LEFT(TRIM(B218),1)))</f>
        <v/>
      </c>
      <c r="M218" s="28">
        <f>IF(B218="","",LEN(TRIM(B218))-LEN(SUBSTITUTE(TRIM(B218)," ",""))+1)</f>
        <v/>
      </c>
      <c r="N218" s="31" t="inlineStr">
        <is>
          <t>Draft</t>
        </is>
      </c>
    </row>
    <row r="219" ht="15" customHeight="1" s="21">
      <c r="A219" s="28" t="n">
        <v>218</v>
      </c>
      <c r="B219" s="29" t="inlineStr">
        <is>
          <t>الأصليين</t>
        </is>
      </c>
      <c r="C219" s="30" t="inlineStr">
        <is>
          <t>El Asleyeen</t>
        </is>
      </c>
      <c r="D219" s="31" t="inlineStr">
        <is>
          <t>Film</t>
        </is>
      </c>
      <c r="E219" s="31" t="n">
        <v>2017</v>
      </c>
      <c r="F219" s="28">
        <f>IF(E219="","",IF(E219&lt;1970,"Abyad w eswed",IF(E219&lt;2000,"70s-90s",IF(E219&lt;2015,"2000s","Gedeed"))))</f>
        <v/>
      </c>
      <c r="G219" s="31" t="inlineStr">
        <is>
          <t>Sa3b</t>
        </is>
      </c>
      <c r="H219" s="30" t="inlineStr">
        <is>
          <t>Thriller</t>
        </is>
      </c>
      <c r="I219" s="32" t="inlineStr">
        <is>
          <t>ماجد الكدواني</t>
        </is>
      </c>
      <c r="J219" s="32" t="n"/>
      <c r="K219" s="32" t="n"/>
      <c r="L219" s="33">
        <f>IF(B219="","",IF(LEFT(TRIM(B219),2)="ال",MID(TRIM(B219),3,1),LEFT(TRIM(B219),1)))</f>
        <v/>
      </c>
      <c r="M219" s="28">
        <f>IF(B219="","",LEN(TRIM(B219))-LEN(SUBSTITUTE(TRIM(B219)," ",""))+1)</f>
        <v/>
      </c>
      <c r="N219" s="31" t="inlineStr">
        <is>
          <t>Rage3ha</t>
        </is>
      </c>
    </row>
    <row r="220" ht="15" customHeight="1" s="21">
      <c r="A220" s="28" t="n">
        <v>219</v>
      </c>
      <c r="B220" s="29" t="inlineStr">
        <is>
          <t>الخلية</t>
        </is>
      </c>
      <c r="C220" s="30" t="inlineStr">
        <is>
          <t>El Khaleya</t>
        </is>
      </c>
      <c r="D220" s="31" t="inlineStr">
        <is>
          <t>Film</t>
        </is>
      </c>
      <c r="E220" s="31" t="n">
        <v>2017</v>
      </c>
      <c r="F220" s="28">
        <f>IF(E220="","",IF(E220&lt;1970,"Abyad w eswed",IF(E220&lt;2000,"70s-90s",IF(E220&lt;2015,"2000s","Gedeed"))))</f>
        <v/>
      </c>
      <c r="G220" s="31" t="inlineStr">
        <is>
          <t>Wasat</t>
        </is>
      </c>
      <c r="H220" s="30" t="inlineStr">
        <is>
          <t>Action</t>
        </is>
      </c>
      <c r="I220" s="32" t="inlineStr">
        <is>
          <t>أحمد عز</t>
        </is>
      </c>
      <c r="J220" s="32" t="n"/>
      <c r="K220" s="32" t="n"/>
      <c r="L220" s="33">
        <f>IF(B220="","",IF(LEFT(TRIM(B220),2)="ال",MID(TRIM(B220),3,1),LEFT(TRIM(B220),1)))</f>
        <v/>
      </c>
      <c r="M220" s="28">
        <f>IF(B220="","",LEN(TRIM(B220))-LEN(SUBSTITUTE(TRIM(B220)," ",""))+1)</f>
        <v/>
      </c>
      <c r="N220" s="31" t="inlineStr">
        <is>
          <t>Draft</t>
        </is>
      </c>
    </row>
    <row r="221" ht="15" customHeight="1" s="21">
      <c r="A221" s="28" t="n">
        <v>220</v>
      </c>
      <c r="B221" s="29" t="inlineStr">
        <is>
          <t>هروب اضطراري</t>
        </is>
      </c>
      <c r="C221" s="30" t="inlineStr">
        <is>
          <t>Horoub Edterary</t>
        </is>
      </c>
      <c r="D221" s="31" t="inlineStr">
        <is>
          <t>Film</t>
        </is>
      </c>
      <c r="E221" s="31" t="n">
        <v>2017</v>
      </c>
      <c r="F221" s="28">
        <f>IF(E221="","",IF(E221&lt;1970,"Abyad w eswed",IF(E221&lt;2000,"70s-90s",IF(E221&lt;2015,"2000s","Gedeed"))))</f>
        <v/>
      </c>
      <c r="G221" s="31" t="inlineStr">
        <is>
          <t>Wasat</t>
        </is>
      </c>
      <c r="H221" s="30" t="inlineStr">
        <is>
          <t>Action</t>
        </is>
      </c>
      <c r="I221" s="32" t="inlineStr">
        <is>
          <t>أحمد السقا</t>
        </is>
      </c>
      <c r="J221" s="32" t="n"/>
      <c r="K221" s="32" t="n"/>
      <c r="L221" s="33">
        <f>IF(B221="","",IF(LEFT(TRIM(B221),2)="ال",MID(TRIM(B221),3,1),LEFT(TRIM(B221),1)))</f>
        <v/>
      </c>
      <c r="M221" s="28">
        <f>IF(B221="","",LEN(TRIM(B221))-LEN(SUBSTITUTE(TRIM(B221)," ",""))+1)</f>
        <v/>
      </c>
      <c r="N221" s="31" t="inlineStr">
        <is>
          <t>Draft</t>
        </is>
      </c>
    </row>
    <row r="222" ht="15" customHeight="1" s="21">
      <c r="A222" s="28" t="n">
        <v>221</v>
      </c>
      <c r="B222" s="29" t="inlineStr">
        <is>
          <t>البدلة</t>
        </is>
      </c>
      <c r="C222" s="30" t="inlineStr">
        <is>
          <t>El Badla</t>
        </is>
      </c>
      <c r="D222" s="31" t="inlineStr">
        <is>
          <t>Film</t>
        </is>
      </c>
      <c r="E222" s="31" t="n">
        <v>2018</v>
      </c>
      <c r="F222" s="28">
        <f>IF(E222="","",IF(E222&lt;1970,"Abyad w eswed",IF(E222&lt;2000,"70s-90s",IF(E222&lt;2015,"2000s","Gedeed"))))</f>
        <v/>
      </c>
      <c r="G222" s="31" t="inlineStr">
        <is>
          <t>Sahl</t>
        </is>
      </c>
      <c r="H222" s="30" t="inlineStr">
        <is>
          <t>Comedy</t>
        </is>
      </c>
      <c r="I222" s="32" t="inlineStr">
        <is>
          <t>تامر حسني</t>
        </is>
      </c>
      <c r="J222" s="32" t="n"/>
      <c r="K222" s="32" t="n"/>
      <c r="L222" s="33">
        <f>IF(B222="","",IF(LEFT(TRIM(B222),2)="ال",MID(TRIM(B222),3,1),LEFT(TRIM(B222),1)))</f>
        <v/>
      </c>
      <c r="M222" s="28">
        <f>IF(B222="","",LEN(TRIM(B222))-LEN(SUBSTITUTE(TRIM(B222)," ",""))+1)</f>
        <v/>
      </c>
      <c r="N222" s="31" t="inlineStr">
        <is>
          <t>Draft</t>
        </is>
      </c>
    </row>
    <row r="223" ht="15" customHeight="1" s="21">
      <c r="A223" s="28" t="n">
        <v>222</v>
      </c>
      <c r="B223" s="29" t="inlineStr">
        <is>
          <t>تراب الماس</t>
        </is>
      </c>
      <c r="C223" s="30" t="inlineStr">
        <is>
          <t>Torab El Mas</t>
        </is>
      </c>
      <c r="D223" s="31" t="inlineStr">
        <is>
          <t>Film</t>
        </is>
      </c>
      <c r="E223" s="31" t="n">
        <v>2018</v>
      </c>
      <c r="F223" s="28">
        <f>IF(E223="","",IF(E223&lt;1970,"Abyad w eswed",IF(E223&lt;2000,"70s-90s",IF(E223&lt;2015,"2000s","Gedeed"))))</f>
        <v/>
      </c>
      <c r="G223" s="31" t="inlineStr">
        <is>
          <t>Wasat</t>
        </is>
      </c>
      <c r="H223" s="30" t="inlineStr">
        <is>
          <t>Thriller</t>
        </is>
      </c>
      <c r="I223" s="32" t="inlineStr">
        <is>
          <t>آسر ياسين</t>
        </is>
      </c>
      <c r="J223" s="32" t="inlineStr">
        <is>
          <t>طه</t>
        </is>
      </c>
      <c r="K223" s="32" t="n"/>
      <c r="L223" s="33">
        <f>IF(B223="","",IF(LEFT(TRIM(B223),2)="ال",MID(TRIM(B223),3,1),LEFT(TRIM(B223),1)))</f>
        <v/>
      </c>
      <c r="M223" s="28">
        <f>IF(B223="","",LEN(TRIM(B223))-LEN(SUBSTITUTE(TRIM(B223)," ",""))+1)</f>
        <v/>
      </c>
      <c r="N223" s="31" t="inlineStr">
        <is>
          <t>Draft</t>
        </is>
      </c>
    </row>
    <row r="224" ht="15" customHeight="1" s="21">
      <c r="A224" s="28" t="n">
        <v>223</v>
      </c>
      <c r="B224" s="29" t="inlineStr">
        <is>
          <t>ديزل</t>
        </is>
      </c>
      <c r="C224" s="30" t="inlineStr">
        <is>
          <t>Diesel</t>
        </is>
      </c>
      <c r="D224" s="31" t="inlineStr">
        <is>
          <t>Film</t>
        </is>
      </c>
      <c r="E224" s="31" t="n">
        <v>2018</v>
      </c>
      <c r="F224" s="28">
        <f>IF(E224="","",IF(E224&lt;1970,"Abyad w eswed",IF(E224&lt;2000,"70s-90s",IF(E224&lt;2015,"2000s","Gedeed"))))</f>
        <v/>
      </c>
      <c r="G224" s="31" t="inlineStr">
        <is>
          <t>Wasat</t>
        </is>
      </c>
      <c r="H224" s="30" t="inlineStr">
        <is>
          <t>Action</t>
        </is>
      </c>
      <c r="I224" s="32" t="inlineStr">
        <is>
          <t>محمد رمضان</t>
        </is>
      </c>
      <c r="J224" s="32" t="n"/>
      <c r="K224" s="32" t="n"/>
      <c r="L224" s="33">
        <f>IF(B224="","",IF(LEFT(TRIM(B224),2)="ال",MID(TRIM(B224),3,1),LEFT(TRIM(B224),1)))</f>
        <v/>
      </c>
      <c r="M224" s="28">
        <f>IF(B224="","",LEN(TRIM(B224))-LEN(SUBSTITUTE(TRIM(B224)," ",""))+1)</f>
        <v/>
      </c>
      <c r="N224" s="31" t="inlineStr">
        <is>
          <t>Draft</t>
        </is>
      </c>
    </row>
    <row r="225" ht="15" customHeight="1" s="21">
      <c r="A225" s="28" t="n">
        <v>224</v>
      </c>
      <c r="B225" s="29" t="inlineStr">
        <is>
          <t>يوم الدين</t>
        </is>
      </c>
      <c r="C225" s="30" t="inlineStr">
        <is>
          <t>Youm El Din</t>
        </is>
      </c>
      <c r="D225" s="31" t="inlineStr">
        <is>
          <t>Film</t>
        </is>
      </c>
      <c r="E225" s="31" t="n">
        <v>2018</v>
      </c>
      <c r="F225" s="28">
        <f>IF(E225="","",IF(E225&lt;1970,"Abyad w eswed",IF(E225&lt;2000,"70s-90s",IF(E225&lt;2015,"2000s","Gedeed"))))</f>
        <v/>
      </c>
      <c r="G225" s="31" t="inlineStr">
        <is>
          <t>Sa3b</t>
        </is>
      </c>
      <c r="H225" s="30" t="inlineStr">
        <is>
          <t>Drama</t>
        </is>
      </c>
      <c r="I225" s="32" t="inlineStr">
        <is>
          <t>راضي جمال</t>
        </is>
      </c>
      <c r="J225" s="32" t="inlineStr">
        <is>
          <t>بشاي</t>
        </is>
      </c>
      <c r="K225" s="32" t="n"/>
      <c r="L225" s="33">
        <f>IF(B225="","",IF(LEFT(TRIM(B225),2)="ال",MID(TRIM(B225),3,1),LEFT(TRIM(B225),1)))</f>
        <v/>
      </c>
      <c r="M225" s="28">
        <f>IF(B225="","",LEN(TRIM(B225))-LEN(SUBSTITUTE(TRIM(B225)," ",""))+1)</f>
        <v/>
      </c>
      <c r="N225" s="31" t="inlineStr">
        <is>
          <t>Draft</t>
        </is>
      </c>
    </row>
    <row r="226" ht="15" customHeight="1" s="21">
      <c r="A226" s="28" t="n">
        <v>225</v>
      </c>
      <c r="B226" s="29" t="inlineStr">
        <is>
          <t>الفيل الأزرق 2</t>
        </is>
      </c>
      <c r="C226" s="30" t="inlineStr">
        <is>
          <t>El Feel El Azra2 2</t>
        </is>
      </c>
      <c r="D226" s="31" t="inlineStr">
        <is>
          <t>Film</t>
        </is>
      </c>
      <c r="E226" s="31" t="n">
        <v>2019</v>
      </c>
      <c r="F226" s="28">
        <f>IF(E226="","",IF(E226&lt;1970,"Abyad w eswed",IF(E226&lt;2000,"70s-90s",IF(E226&lt;2015,"2000s","Gedeed"))))</f>
        <v/>
      </c>
      <c r="G226" s="31" t="inlineStr">
        <is>
          <t>Wasat</t>
        </is>
      </c>
      <c r="H226" s="30" t="inlineStr">
        <is>
          <t>Horror</t>
        </is>
      </c>
      <c r="I226" s="32" t="inlineStr">
        <is>
          <t>كريم عبد العزيز</t>
        </is>
      </c>
      <c r="J226" s="32" t="inlineStr">
        <is>
          <t>يحيى</t>
        </is>
      </c>
      <c r="K226" s="32" t="n"/>
      <c r="L226" s="33">
        <f>IF(B226="","",IF(LEFT(TRIM(B226),2)="ال",MID(TRIM(B226),3,1),LEFT(TRIM(B226),1)))</f>
        <v/>
      </c>
      <c r="M226" s="28">
        <f>IF(B226="","",LEN(TRIM(B226))-LEN(SUBSTITUTE(TRIM(B226)," ",""))+1)</f>
        <v/>
      </c>
      <c r="N226" s="31" t="inlineStr">
        <is>
          <t>Draft</t>
        </is>
      </c>
    </row>
    <row r="227" ht="15" customHeight="1" s="21">
      <c r="A227" s="28" t="n">
        <v>226</v>
      </c>
      <c r="B227" s="29" t="inlineStr">
        <is>
          <t>الممر</t>
        </is>
      </c>
      <c r="C227" s="30" t="inlineStr">
        <is>
          <t>El Mamar</t>
        </is>
      </c>
      <c r="D227" s="31" t="inlineStr">
        <is>
          <t>Film</t>
        </is>
      </c>
      <c r="E227" s="31" t="n">
        <v>2019</v>
      </c>
      <c r="F227" s="28">
        <f>IF(E227="","",IF(E227&lt;1970,"Abyad w eswed",IF(E227&lt;2000,"70s-90s",IF(E227&lt;2015,"2000s","Gedeed"))))</f>
        <v/>
      </c>
      <c r="G227" s="31" t="inlineStr">
        <is>
          <t>Wasat</t>
        </is>
      </c>
      <c r="H227" s="30" t="inlineStr">
        <is>
          <t>Action</t>
        </is>
      </c>
      <c r="I227" s="32" t="inlineStr">
        <is>
          <t>أحمد عز</t>
        </is>
      </c>
      <c r="J227" s="32" t="n"/>
      <c r="K227" s="32" t="n"/>
      <c r="L227" s="33">
        <f>IF(B227="","",IF(LEFT(TRIM(B227),2)="ال",MID(TRIM(B227),3,1),LEFT(TRIM(B227),1)))</f>
        <v/>
      </c>
      <c r="M227" s="28">
        <f>IF(B227="","",LEN(TRIM(B227))-LEN(SUBSTITUTE(TRIM(B227)," ",""))+1)</f>
        <v/>
      </c>
      <c r="N227" s="31" t="inlineStr">
        <is>
          <t>Draft</t>
        </is>
      </c>
    </row>
    <row r="228" ht="15" customHeight="1" s="21">
      <c r="A228" s="28" t="n">
        <v>227</v>
      </c>
      <c r="B228" s="29" t="inlineStr">
        <is>
          <t>خيال مآتة</t>
        </is>
      </c>
      <c r="C228" s="30" t="inlineStr">
        <is>
          <t>Khayal Ma2ata</t>
        </is>
      </c>
      <c r="D228" s="31" t="inlineStr">
        <is>
          <t>Film</t>
        </is>
      </c>
      <c r="E228" s="31" t="n">
        <v>2019</v>
      </c>
      <c r="F228" s="28">
        <f>IF(E228="","",IF(E228&lt;1970,"Abyad w eswed",IF(E228&lt;2000,"70s-90s",IF(E228&lt;2015,"2000s","Gedeed"))))</f>
        <v/>
      </c>
      <c r="G228" s="31" t="inlineStr">
        <is>
          <t>Wasat</t>
        </is>
      </c>
      <c r="H228" s="30" t="inlineStr">
        <is>
          <t>Comedy</t>
        </is>
      </c>
      <c r="I228" s="32" t="inlineStr">
        <is>
          <t>أحمد حلمي</t>
        </is>
      </c>
      <c r="J228" s="32" t="n"/>
      <c r="K228" s="32" t="n"/>
      <c r="L228" s="33">
        <f>IF(B228="","",IF(LEFT(TRIM(B228),2)="ال",MID(TRIM(B228),3,1),LEFT(TRIM(B228),1)))</f>
        <v/>
      </c>
      <c r="M228" s="28">
        <f>IF(B228="","",LEN(TRIM(B228))-LEN(SUBSTITUTE(TRIM(B228)," ",""))+1)</f>
        <v/>
      </c>
      <c r="N228" s="31" t="inlineStr">
        <is>
          <t>Draft</t>
        </is>
      </c>
    </row>
    <row r="229" ht="15" customHeight="1" s="21">
      <c r="A229" s="28" t="n">
        <v>228</v>
      </c>
      <c r="B229" s="29" t="inlineStr">
        <is>
          <t>كازابلانكا</t>
        </is>
      </c>
      <c r="C229" s="30" t="inlineStr">
        <is>
          <t>Casablanca</t>
        </is>
      </c>
      <c r="D229" s="31" t="inlineStr">
        <is>
          <t>Film</t>
        </is>
      </c>
      <c r="E229" s="31" t="n">
        <v>2019</v>
      </c>
      <c r="F229" s="28">
        <f>IF(E229="","",IF(E229&lt;1970,"Abyad w eswed",IF(E229&lt;2000,"70s-90s",IF(E229&lt;2015,"2000s","Gedeed"))))</f>
        <v/>
      </c>
      <c r="G229" s="31" t="inlineStr">
        <is>
          <t>Wasat</t>
        </is>
      </c>
      <c r="H229" s="30" t="inlineStr">
        <is>
          <t>Action</t>
        </is>
      </c>
      <c r="I229" s="32" t="inlineStr">
        <is>
          <t>أمير كرارة</t>
        </is>
      </c>
      <c r="J229" s="32" t="n"/>
      <c r="K229" s="32" t="n"/>
      <c r="L229" s="33">
        <f>IF(B229="","",IF(LEFT(TRIM(B229),2)="ال",MID(TRIM(B229),3,1),LEFT(TRIM(B229),1)))</f>
        <v/>
      </c>
      <c r="M229" s="28">
        <f>IF(B229="","",LEN(TRIM(B229))-LEN(SUBSTITUTE(TRIM(B229)," ",""))+1)</f>
        <v/>
      </c>
      <c r="N229" s="31" t="inlineStr">
        <is>
          <t>Draft</t>
        </is>
      </c>
    </row>
    <row r="230" ht="15" customHeight="1" s="21">
      <c r="A230" s="28" t="n">
        <v>229</v>
      </c>
      <c r="B230" s="29" t="inlineStr">
        <is>
          <t>نادي الرجال السري</t>
        </is>
      </c>
      <c r="C230" s="30" t="inlineStr">
        <is>
          <t>Nady El Regala El Serry</t>
        </is>
      </c>
      <c r="D230" s="31" t="inlineStr">
        <is>
          <t>Film</t>
        </is>
      </c>
      <c r="E230" s="31" t="n">
        <v>2019</v>
      </c>
      <c r="F230" s="28">
        <f>IF(E230="","",IF(E230&lt;1970,"Abyad w eswed",IF(E230&lt;2000,"70s-90s",IF(E230&lt;2015,"2000s","Gedeed"))))</f>
        <v/>
      </c>
      <c r="G230" s="31" t="inlineStr">
        <is>
          <t>Wasat</t>
        </is>
      </c>
      <c r="H230" s="30" t="inlineStr">
        <is>
          <t>Comedy</t>
        </is>
      </c>
      <c r="I230" s="32" t="inlineStr">
        <is>
          <t>كريم عبد العزيز</t>
        </is>
      </c>
      <c r="J230" s="32" t="n"/>
      <c r="K230" s="32" t="n"/>
      <c r="L230" s="33">
        <f>IF(B230="","",IF(LEFT(TRIM(B230),2)="ال",MID(TRIM(B230),3,1),LEFT(TRIM(B230),1)))</f>
        <v/>
      </c>
      <c r="M230" s="28">
        <f>IF(B230="","",LEN(TRIM(B230))-LEN(SUBSTITUTE(TRIM(B230)," ",""))+1)</f>
        <v/>
      </c>
      <c r="N230" s="31" t="inlineStr">
        <is>
          <t>Draft</t>
        </is>
      </c>
    </row>
    <row r="231" ht="15" customHeight="1" s="21">
      <c r="A231" s="28" t="n">
        <v>230</v>
      </c>
      <c r="B231" s="29" t="inlineStr">
        <is>
          <t>لص بغداد</t>
        </is>
      </c>
      <c r="C231" s="30" t="inlineStr">
        <is>
          <t>Less Baghdad</t>
        </is>
      </c>
      <c r="D231" s="31" t="inlineStr">
        <is>
          <t>Film</t>
        </is>
      </c>
      <c r="E231" s="31" t="n">
        <v>2020</v>
      </c>
      <c r="F231" s="28">
        <f>IF(E231="","",IF(E231&lt;1970,"Abyad w eswed",IF(E231&lt;2000,"70s-90s",IF(E231&lt;2015,"2000s","Gedeed"))))</f>
        <v/>
      </c>
      <c r="G231" s="31" t="inlineStr">
        <is>
          <t>Wasat</t>
        </is>
      </c>
      <c r="H231" s="30" t="inlineStr">
        <is>
          <t>Action</t>
        </is>
      </c>
      <c r="I231" s="32" t="inlineStr">
        <is>
          <t>محمد إمام</t>
        </is>
      </c>
      <c r="J231" s="32" t="n"/>
      <c r="K231" s="32" t="n"/>
      <c r="L231" s="33">
        <f>IF(B231="","",IF(LEFT(TRIM(B231),2)="ال",MID(TRIM(B231),3,1),LEFT(TRIM(B231),1)))</f>
        <v/>
      </c>
      <c r="M231" s="28">
        <f>IF(B231="","",LEN(TRIM(B231))-LEN(SUBSTITUTE(TRIM(B231)," ",""))+1)</f>
        <v/>
      </c>
      <c r="N231" s="31" t="inlineStr">
        <is>
          <t>Draft</t>
        </is>
      </c>
    </row>
    <row r="232" ht="15" customHeight="1" s="21">
      <c r="A232" s="28" t="n">
        <v>231</v>
      </c>
      <c r="B232" s="29" t="inlineStr">
        <is>
          <t>مش أنا</t>
        </is>
      </c>
      <c r="C232" s="30" t="inlineStr">
        <is>
          <t>Mesh Ana</t>
        </is>
      </c>
      <c r="D232" s="31" t="inlineStr">
        <is>
          <t>Film</t>
        </is>
      </c>
      <c r="E232" s="31" t="n">
        <v>2021</v>
      </c>
      <c r="F232" s="28">
        <f>IF(E232="","",IF(E232&lt;1970,"Abyad w eswed",IF(E232&lt;2000,"70s-90s",IF(E232&lt;2015,"2000s","Gedeed"))))</f>
        <v/>
      </c>
      <c r="G232" s="31" t="inlineStr">
        <is>
          <t>Wasat</t>
        </is>
      </c>
      <c r="H232" s="30" t="inlineStr">
        <is>
          <t>Comedy</t>
        </is>
      </c>
      <c r="I232" s="32" t="inlineStr">
        <is>
          <t>تامر حسني</t>
        </is>
      </c>
      <c r="J232" s="32" t="n"/>
      <c r="K232" s="32" t="n"/>
      <c r="L232" s="33">
        <f>IF(B232="","",IF(LEFT(TRIM(B232),2)="ال",MID(TRIM(B232),3,1),LEFT(TRIM(B232),1)))</f>
        <v/>
      </c>
      <c r="M232" s="28">
        <f>IF(B232="","",LEN(TRIM(B232))-LEN(SUBSTITUTE(TRIM(B232)," ",""))+1)</f>
        <v/>
      </c>
      <c r="N232" s="31" t="inlineStr">
        <is>
          <t>Draft</t>
        </is>
      </c>
    </row>
    <row r="233" ht="15" customHeight="1" s="21">
      <c r="A233" s="28" t="n">
        <v>232</v>
      </c>
      <c r="B233" s="29" t="inlineStr">
        <is>
          <t>بحبك</t>
        </is>
      </c>
      <c r="C233" s="30" t="inlineStr">
        <is>
          <t>Ba7ebbak</t>
        </is>
      </c>
      <c r="D233" s="31" t="inlineStr">
        <is>
          <t>Film</t>
        </is>
      </c>
      <c r="E233" s="31" t="n">
        <v>2022</v>
      </c>
      <c r="F233" s="28">
        <f>IF(E233="","",IF(E233&lt;1970,"Abyad w eswed",IF(E233&lt;2000,"70s-90s",IF(E233&lt;2015,"2000s","Gedeed"))))</f>
        <v/>
      </c>
      <c r="G233" s="31" t="inlineStr">
        <is>
          <t>Wasat</t>
        </is>
      </c>
      <c r="H233" s="30" t="inlineStr">
        <is>
          <t>Romance</t>
        </is>
      </c>
      <c r="I233" s="32" t="inlineStr">
        <is>
          <t>تامر حسني</t>
        </is>
      </c>
      <c r="J233" s="32" t="n"/>
      <c r="K233" s="32" t="n"/>
      <c r="L233" s="33">
        <f>IF(B233="","",IF(LEFT(TRIM(B233),2)="ال",MID(TRIM(B233),3,1),LEFT(TRIM(B233),1)))</f>
        <v/>
      </c>
      <c r="M233" s="28">
        <f>IF(B233="","",LEN(TRIM(B233))-LEN(SUBSTITUTE(TRIM(B233)," ",""))+1)</f>
        <v/>
      </c>
      <c r="N233" s="31" t="inlineStr">
        <is>
          <t>Draft</t>
        </is>
      </c>
    </row>
    <row r="234" ht="15" customHeight="1" s="21">
      <c r="A234" s="28" t="n">
        <v>233</v>
      </c>
      <c r="B234" s="29" t="inlineStr">
        <is>
          <t>كيرة والجن</t>
        </is>
      </c>
      <c r="C234" s="30" t="inlineStr">
        <is>
          <t>Kira wel Gen</t>
        </is>
      </c>
      <c r="D234" s="31" t="inlineStr">
        <is>
          <t>Film</t>
        </is>
      </c>
      <c r="E234" s="31" t="n">
        <v>2022</v>
      </c>
      <c r="F234" s="28">
        <f>IF(E234="","",IF(E234&lt;1970,"Abyad w eswed",IF(E234&lt;2000,"70s-90s",IF(E234&lt;2015,"2000s","Gedeed"))))</f>
        <v/>
      </c>
      <c r="G234" s="31" t="inlineStr">
        <is>
          <t>Wasat</t>
        </is>
      </c>
      <c r="H234" s="30" t="inlineStr">
        <is>
          <t>Ta2reekhy</t>
        </is>
      </c>
      <c r="I234" s="32" t="inlineStr">
        <is>
          <t>كريم عبد العزيز</t>
        </is>
      </c>
      <c r="J234" s="32" t="inlineStr">
        <is>
          <t>كيرة</t>
        </is>
      </c>
      <c r="K234" s="32" t="n"/>
      <c r="L234" s="33">
        <f>IF(B234="","",IF(LEFT(TRIM(B234),2)="ال",MID(TRIM(B234),3,1),LEFT(TRIM(B234),1)))</f>
        <v/>
      </c>
      <c r="M234" s="28">
        <f>IF(B234="","",LEN(TRIM(B234))-LEN(SUBSTITUTE(TRIM(B234)," ",""))+1)</f>
        <v/>
      </c>
      <c r="N234" s="31" t="inlineStr">
        <is>
          <t>Draft</t>
        </is>
      </c>
    </row>
    <row r="235" ht="15" customHeight="1" s="21">
      <c r="A235" s="28" t="n">
        <v>234</v>
      </c>
      <c r="B235" s="29" t="inlineStr">
        <is>
          <t>واحد تاني</t>
        </is>
      </c>
      <c r="C235" s="30" t="inlineStr">
        <is>
          <t>Wa7ed Tany</t>
        </is>
      </c>
      <c r="D235" s="31" t="inlineStr">
        <is>
          <t>Film</t>
        </is>
      </c>
      <c r="E235" s="31" t="n">
        <v>2022</v>
      </c>
      <c r="F235" s="28">
        <f>IF(E235="","",IF(E235&lt;1970,"Abyad w eswed",IF(E235&lt;2000,"70s-90s",IF(E235&lt;2015,"2000s","Gedeed"))))</f>
        <v/>
      </c>
      <c r="G235" s="31" t="inlineStr">
        <is>
          <t>Wasat</t>
        </is>
      </c>
      <c r="H235" s="30" t="inlineStr">
        <is>
          <t>Comedy</t>
        </is>
      </c>
      <c r="I235" s="32" t="inlineStr">
        <is>
          <t>أحمد حلمي</t>
        </is>
      </c>
      <c r="J235" s="32" t="n"/>
      <c r="K235" s="32" t="n"/>
      <c r="L235" s="33">
        <f>IF(B235="","",IF(LEFT(TRIM(B235),2)="ال",MID(TRIM(B235),3,1),LEFT(TRIM(B235),1)))</f>
        <v/>
      </c>
      <c r="M235" s="28">
        <f>IF(B235="","",LEN(TRIM(B235))-LEN(SUBSTITUTE(TRIM(B235)," ",""))+1)</f>
        <v/>
      </c>
      <c r="N235" s="31" t="inlineStr">
        <is>
          <t>Draft</t>
        </is>
      </c>
    </row>
    <row r="236" ht="15" customHeight="1" s="21">
      <c r="A236" s="28" t="n">
        <v>235</v>
      </c>
      <c r="B236" s="29" t="inlineStr">
        <is>
          <t>بيت الروبي</t>
        </is>
      </c>
      <c r="C236" s="30" t="inlineStr">
        <is>
          <t>Beit El Roby</t>
        </is>
      </c>
      <c r="D236" s="31" t="inlineStr">
        <is>
          <t>Film</t>
        </is>
      </c>
      <c r="E236" s="31" t="n">
        <v>2023</v>
      </c>
      <c r="F236" s="28">
        <f>IF(E236="","",IF(E236&lt;1970,"Abyad w eswed",IF(E236&lt;2000,"70s-90s",IF(E236&lt;2015,"2000s","Gedeed"))))</f>
        <v/>
      </c>
      <c r="G236" s="31" t="inlineStr">
        <is>
          <t>Wasat</t>
        </is>
      </c>
      <c r="H236" s="30" t="inlineStr">
        <is>
          <t>Comedy</t>
        </is>
      </c>
      <c r="I236" s="32" t="inlineStr">
        <is>
          <t>كريم عبد العزيز</t>
        </is>
      </c>
      <c r="J236" s="32" t="n"/>
      <c r="K236" s="32" t="n"/>
      <c r="L236" s="33">
        <f>IF(B236="","",IF(LEFT(TRIM(B236),2)="ال",MID(TRIM(B236),3,1),LEFT(TRIM(B236),1)))</f>
        <v/>
      </c>
      <c r="M236" s="28">
        <f>IF(B236="","",LEN(TRIM(B236))-LEN(SUBSTITUTE(TRIM(B236)," ",""))+1)</f>
        <v/>
      </c>
      <c r="N236" s="31" t="inlineStr">
        <is>
          <t>Draft</t>
        </is>
      </c>
    </row>
    <row r="237" ht="15" customHeight="1" s="21">
      <c r="A237" s="28" t="n">
        <v>236</v>
      </c>
      <c r="B237" s="29" t="inlineStr">
        <is>
          <t>الحريفة</t>
        </is>
      </c>
      <c r="C237" s="30" t="inlineStr">
        <is>
          <t>El 7errifa</t>
        </is>
      </c>
      <c r="D237" s="31" t="inlineStr">
        <is>
          <t>Film</t>
        </is>
      </c>
      <c r="E237" s="31" t="n">
        <v>2024</v>
      </c>
      <c r="F237" s="28">
        <f>IF(E237="","",IF(E237&lt;1970,"Abyad w eswed",IF(E237&lt;2000,"70s-90s",IF(E237&lt;2015,"2000s","Gedeed"))))</f>
        <v/>
      </c>
      <c r="G237" s="31" t="inlineStr">
        <is>
          <t>Wasat</t>
        </is>
      </c>
      <c r="H237" s="30" t="inlineStr">
        <is>
          <t>Comedy</t>
        </is>
      </c>
      <c r="I237" s="32" t="inlineStr">
        <is>
          <t>نور النبوي</t>
        </is>
      </c>
      <c r="J237" s="32" t="n"/>
      <c r="K237" s="32" t="n"/>
      <c r="L237" s="33">
        <f>IF(B237="","",IF(LEFT(TRIM(B237),2)="ال",MID(TRIM(B237),3,1),LEFT(TRIM(B237),1)))</f>
        <v/>
      </c>
      <c r="M237" s="28">
        <f>IF(B237="","",LEN(TRIM(B237))-LEN(SUBSTITUTE(TRIM(B237)," ",""))+1)</f>
        <v/>
      </c>
      <c r="N237" s="31" t="inlineStr">
        <is>
          <t>Rage3ha</t>
        </is>
      </c>
    </row>
    <row r="238" ht="15" customHeight="1" s="21">
      <c r="A238" s="28" t="n">
        <v>237</v>
      </c>
      <c r="B238" s="29" t="inlineStr">
        <is>
          <t>السرب</t>
        </is>
      </c>
      <c r="C238" s="30" t="inlineStr">
        <is>
          <t>El Serb</t>
        </is>
      </c>
      <c r="D238" s="31" t="inlineStr">
        <is>
          <t>Film</t>
        </is>
      </c>
      <c r="E238" s="31" t="n">
        <v>2024</v>
      </c>
      <c r="F238" s="28">
        <f>IF(E238="","",IF(E238&lt;1970,"Abyad w eswed",IF(E238&lt;2000,"70s-90s",IF(E238&lt;2015,"2000s","Gedeed"))))</f>
        <v/>
      </c>
      <c r="G238" s="31" t="inlineStr">
        <is>
          <t>Wasat</t>
        </is>
      </c>
      <c r="H238" s="30" t="inlineStr">
        <is>
          <t>Action</t>
        </is>
      </c>
      <c r="I238" s="32" t="inlineStr">
        <is>
          <t>أحمد السقا</t>
        </is>
      </c>
      <c r="J238" s="32" t="n"/>
      <c r="K238" s="32" t="n"/>
      <c r="L238" s="33">
        <f>IF(B238="","",IF(LEFT(TRIM(B238),2)="ال",MID(TRIM(B238),3,1),LEFT(TRIM(B238),1)))</f>
        <v/>
      </c>
      <c r="M238" s="28">
        <f>IF(B238="","",LEN(TRIM(B238))-LEN(SUBSTITUTE(TRIM(B238)," ",""))+1)</f>
        <v/>
      </c>
      <c r="N238" s="31" t="inlineStr">
        <is>
          <t>Rage3ha</t>
        </is>
      </c>
    </row>
    <row r="239" ht="15" customHeight="1" s="21">
      <c r="A239" s="28" t="n">
        <v>238</v>
      </c>
      <c r="B239" s="29" t="inlineStr">
        <is>
          <t>شقو</t>
        </is>
      </c>
      <c r="C239" s="30" t="inlineStr">
        <is>
          <t>Sha2o</t>
        </is>
      </c>
      <c r="D239" s="31" t="inlineStr">
        <is>
          <t>Film</t>
        </is>
      </c>
      <c r="E239" s="31" t="n">
        <v>2024</v>
      </c>
      <c r="F239" s="28">
        <f>IF(E239="","",IF(E239&lt;1970,"Abyad w eswed",IF(E239&lt;2000,"70s-90s",IF(E239&lt;2015,"2000s","Gedeed"))))</f>
        <v/>
      </c>
      <c r="G239" s="31" t="inlineStr">
        <is>
          <t>Wasat</t>
        </is>
      </c>
      <c r="H239" s="30" t="inlineStr">
        <is>
          <t>Action</t>
        </is>
      </c>
      <c r="I239" s="32" t="inlineStr">
        <is>
          <t>عمرو يوسف</t>
        </is>
      </c>
      <c r="J239" s="32" t="n"/>
      <c r="K239" s="32" t="n"/>
      <c r="L239" s="33">
        <f>IF(B239="","",IF(LEFT(TRIM(B239),2)="ال",MID(TRIM(B239),3,1),LEFT(TRIM(B239),1)))</f>
        <v/>
      </c>
      <c r="M239" s="28">
        <f>IF(B239="","",LEN(TRIM(B239))-LEN(SUBSTITUTE(TRIM(B239)," ",""))+1)</f>
        <v/>
      </c>
      <c r="N239" s="31" t="inlineStr">
        <is>
          <t>Rage3ha</t>
        </is>
      </c>
    </row>
    <row r="240" ht="15" customHeight="1" s="21">
      <c r="A240" s="28" t="n">
        <v>239</v>
      </c>
      <c r="B240" s="29" t="inlineStr">
        <is>
          <t>دموع في عيون وقحة</t>
        </is>
      </c>
      <c r="C240" s="30" t="inlineStr">
        <is>
          <t>Domou3 fi 3oyoun Wa2e7a</t>
        </is>
      </c>
      <c r="D240" s="31" t="inlineStr">
        <is>
          <t>Mosalsal</t>
        </is>
      </c>
      <c r="E240" s="31" t="n">
        <v>1980</v>
      </c>
      <c r="F240" s="28">
        <f>IF(E240="","",IF(E240&lt;1970,"Abyad w eswed",IF(E240&lt;2000,"70s-90s",IF(E240&lt;2015,"2000s","Gedeed"))))</f>
        <v/>
      </c>
      <c r="G240" s="31" t="inlineStr">
        <is>
          <t>Sa3b</t>
        </is>
      </c>
      <c r="H240" s="30" t="inlineStr">
        <is>
          <t>Drama</t>
        </is>
      </c>
      <c r="I240" s="32" t="inlineStr">
        <is>
          <t>عادل إمام</t>
        </is>
      </c>
      <c r="J240" s="32" t="inlineStr">
        <is>
          <t>جمعة الشوان</t>
        </is>
      </c>
      <c r="K240" s="32" t="n"/>
      <c r="L240" s="33">
        <f>IF(B240="","",IF(LEFT(TRIM(B240),2)="ال",MID(TRIM(B240),3,1),LEFT(TRIM(B240),1)))</f>
        <v/>
      </c>
      <c r="M240" s="28">
        <f>IF(B240="","",LEN(TRIM(B240))-LEN(SUBSTITUTE(TRIM(B240)," ",""))+1)</f>
        <v/>
      </c>
      <c r="N240" s="31" t="inlineStr">
        <is>
          <t>Rage3ha</t>
        </is>
      </c>
    </row>
    <row r="241" ht="15" customHeight="1" s="21">
      <c r="A241" s="28" t="n">
        <v>240</v>
      </c>
      <c r="B241" s="29" t="inlineStr">
        <is>
          <t>الشهد والدموع</t>
        </is>
      </c>
      <c r="C241" s="30" t="inlineStr">
        <is>
          <t>El Shahd wel Domou3</t>
        </is>
      </c>
      <c r="D241" s="31" t="inlineStr">
        <is>
          <t>Mosalsal</t>
        </is>
      </c>
      <c r="E241" s="31" t="n">
        <v>1983</v>
      </c>
      <c r="F241" s="28">
        <f>IF(E241="","",IF(E241&lt;1970,"Abyad w eswed",IF(E241&lt;2000,"70s-90s",IF(E241&lt;2015,"2000s","Gedeed"))))</f>
        <v/>
      </c>
      <c r="G241" s="31" t="inlineStr">
        <is>
          <t>Sa3b</t>
        </is>
      </c>
      <c r="H241" s="30" t="inlineStr">
        <is>
          <t>Drama</t>
        </is>
      </c>
      <c r="I241" s="32" t="inlineStr">
        <is>
          <t>يوسف شعبان</t>
        </is>
      </c>
      <c r="J241" s="32" t="n"/>
      <c r="K241" s="32" t="n"/>
      <c r="L241" s="33">
        <f>IF(B241="","",IF(LEFT(TRIM(B241),2)="ال",MID(TRIM(B241),3,1),LEFT(TRIM(B241),1)))</f>
        <v/>
      </c>
      <c r="M241" s="28">
        <f>IF(B241="","",LEN(TRIM(B241))-LEN(SUBSTITUTE(TRIM(B241)," ",""))+1)</f>
        <v/>
      </c>
      <c r="N241" s="31" t="inlineStr">
        <is>
          <t>Rage3ha</t>
        </is>
      </c>
    </row>
    <row r="242" ht="15" customHeight="1" s="21">
      <c r="A242" s="28" t="n">
        <v>241</v>
      </c>
      <c r="B242" s="29" t="inlineStr">
        <is>
          <t>رحلة السيد أبو العلا البشري</t>
        </is>
      </c>
      <c r="C242" s="30" t="inlineStr">
        <is>
          <t>Re7let El Sayed Abo El 3ela El Beshry</t>
        </is>
      </c>
      <c r="D242" s="31" t="inlineStr">
        <is>
          <t>Mosalsal</t>
        </is>
      </c>
      <c r="E242" s="31" t="n">
        <v>1985</v>
      </c>
      <c r="F242" s="28">
        <f>IF(E242="","",IF(E242&lt;1970,"Abyad w eswed",IF(E242&lt;2000,"70s-90s",IF(E242&lt;2015,"2000s","Gedeed"))))</f>
        <v/>
      </c>
      <c r="G242" s="31" t="inlineStr">
        <is>
          <t>Sa3b</t>
        </is>
      </c>
      <c r="H242" s="30" t="inlineStr">
        <is>
          <t>Drama</t>
        </is>
      </c>
      <c r="I242" s="32" t="inlineStr">
        <is>
          <t>محمود مرسي</t>
        </is>
      </c>
      <c r="J242" s="32" t="inlineStr">
        <is>
          <t>أبو العلا البشري</t>
        </is>
      </c>
      <c r="K242" s="32" t="n"/>
      <c r="L242" s="33">
        <f>IF(B242="","",IF(LEFT(TRIM(B242),2)="ال",MID(TRIM(B242),3,1),LEFT(TRIM(B242),1)))</f>
        <v/>
      </c>
      <c r="M242" s="28">
        <f>IF(B242="","",LEN(TRIM(B242))-LEN(SUBSTITUTE(TRIM(B242)," ",""))+1)</f>
        <v/>
      </c>
      <c r="N242" s="31" t="inlineStr">
        <is>
          <t>Draft</t>
        </is>
      </c>
    </row>
    <row r="243" ht="15" customHeight="1" s="21">
      <c r="A243" s="28" t="n">
        <v>242</v>
      </c>
      <c r="B243" s="29" t="inlineStr">
        <is>
          <t>ليالي الحلمية</t>
        </is>
      </c>
      <c r="C243" s="30" t="inlineStr">
        <is>
          <t>Layaly El 7elmeya</t>
        </is>
      </c>
      <c r="D243" s="31" t="inlineStr">
        <is>
          <t>Mosalsal</t>
        </is>
      </c>
      <c r="E243" s="31" t="n">
        <v>1987</v>
      </c>
      <c r="F243" s="28">
        <f>IF(E243="","",IF(E243&lt;1970,"Abyad w eswed",IF(E243&lt;2000,"70s-90s",IF(E243&lt;2015,"2000s","Gedeed"))))</f>
        <v/>
      </c>
      <c r="G243" s="31" t="inlineStr">
        <is>
          <t>Wasat</t>
        </is>
      </c>
      <c r="H243" s="30" t="inlineStr">
        <is>
          <t>Drama</t>
        </is>
      </c>
      <c r="I243" s="32" t="inlineStr">
        <is>
          <t>يحيى الفخراني</t>
        </is>
      </c>
      <c r="J243" s="32" t="inlineStr">
        <is>
          <t>سليم البدري</t>
        </is>
      </c>
      <c r="K243" s="32" t="n"/>
      <c r="L243" s="33">
        <f>IF(B243="","",IF(LEFT(TRIM(B243),2)="ال",MID(TRIM(B243),3,1),LEFT(TRIM(B243),1)))</f>
        <v/>
      </c>
      <c r="M243" s="28">
        <f>IF(B243="","",LEN(TRIM(B243))-LEN(SUBSTITUTE(TRIM(B243)," ",""))+1)</f>
        <v/>
      </c>
      <c r="N243" s="31" t="inlineStr">
        <is>
          <t>Draft</t>
        </is>
      </c>
    </row>
    <row r="244" ht="15" customHeight="1" s="21">
      <c r="A244" s="28" t="n">
        <v>243</v>
      </c>
      <c r="B244" s="29" t="inlineStr">
        <is>
          <t>رأفت الهجان</t>
        </is>
      </c>
      <c r="C244" s="30" t="inlineStr">
        <is>
          <t>Ra2fat El Haggan</t>
        </is>
      </c>
      <c r="D244" s="31" t="inlineStr">
        <is>
          <t>Mosalsal</t>
        </is>
      </c>
      <c r="E244" s="31" t="n">
        <v>1988</v>
      </c>
      <c r="F244" s="28">
        <f>IF(E244="","",IF(E244&lt;1970,"Abyad w eswed",IF(E244&lt;2000,"70s-90s",IF(E244&lt;2015,"2000s","Gedeed"))))</f>
        <v/>
      </c>
      <c r="G244" s="31" t="inlineStr">
        <is>
          <t>Sahl</t>
        </is>
      </c>
      <c r="H244" s="30" t="inlineStr">
        <is>
          <t>Drama</t>
        </is>
      </c>
      <c r="I244" s="32" t="inlineStr">
        <is>
          <t>محمود عبد العزيز</t>
        </is>
      </c>
      <c r="J244" s="32" t="inlineStr">
        <is>
          <t>رأفت الهجان</t>
        </is>
      </c>
      <c r="K244" s="32" t="n"/>
      <c r="L244" s="33">
        <f>IF(B244="","",IF(LEFT(TRIM(B244),2)="ال",MID(TRIM(B244),3,1),LEFT(TRIM(B244),1)))</f>
        <v/>
      </c>
      <c r="M244" s="28">
        <f>IF(B244="","",LEN(TRIM(B244))-LEN(SUBSTITUTE(TRIM(B244)," ",""))+1)</f>
        <v/>
      </c>
      <c r="N244" s="31" t="inlineStr">
        <is>
          <t>Draft</t>
        </is>
      </c>
    </row>
    <row r="245" ht="15" customHeight="1" s="21">
      <c r="A245" s="28" t="n">
        <v>244</v>
      </c>
      <c r="B245" s="29" t="inlineStr">
        <is>
          <t>المال والبنون</t>
        </is>
      </c>
      <c r="C245" s="30" t="inlineStr">
        <is>
          <t>El Mal wel Banoun</t>
        </is>
      </c>
      <c r="D245" s="31" t="inlineStr">
        <is>
          <t>Mosalsal</t>
        </is>
      </c>
      <c r="E245" s="31" t="n">
        <v>1992</v>
      </c>
      <c r="F245" s="28">
        <f>IF(E245="","",IF(E245&lt;1970,"Abyad w eswed",IF(E245&lt;2000,"70s-90s",IF(E245&lt;2015,"2000s","Gedeed"))))</f>
        <v/>
      </c>
      <c r="G245" s="31" t="inlineStr">
        <is>
          <t>Wasat</t>
        </is>
      </c>
      <c r="H245" s="30" t="inlineStr">
        <is>
          <t>Drama</t>
        </is>
      </c>
      <c r="I245" s="32" t="inlineStr">
        <is>
          <t>يوسف شعبان</t>
        </is>
      </c>
      <c r="J245" s="32" t="n"/>
      <c r="K245" s="32" t="n"/>
      <c r="L245" s="33">
        <f>IF(B245="","",IF(LEFT(TRIM(B245),2)="ال",MID(TRIM(B245),3,1),LEFT(TRIM(B245),1)))</f>
        <v/>
      </c>
      <c r="M245" s="28">
        <f>IF(B245="","",LEN(TRIM(B245))-LEN(SUBSTITUTE(TRIM(B245)," ",""))+1)</f>
        <v/>
      </c>
      <c r="N245" s="31" t="inlineStr">
        <is>
          <t>Rage3ha</t>
        </is>
      </c>
    </row>
    <row r="246" ht="15" customHeight="1" s="21">
      <c r="A246" s="28" t="n">
        <v>245</v>
      </c>
      <c r="B246" s="29" t="inlineStr">
        <is>
          <t>بوابة الحلواني</t>
        </is>
      </c>
      <c r="C246" s="30" t="inlineStr">
        <is>
          <t>Bawabet El 7alawany</t>
        </is>
      </c>
      <c r="D246" s="31" t="inlineStr">
        <is>
          <t>Mosalsal</t>
        </is>
      </c>
      <c r="E246" s="31" t="n">
        <v>1992</v>
      </c>
      <c r="F246" s="28">
        <f>IF(E246="","",IF(E246&lt;1970,"Abyad w eswed",IF(E246&lt;2000,"70s-90s",IF(E246&lt;2015,"2000s","Gedeed"))))</f>
        <v/>
      </c>
      <c r="G246" s="31" t="inlineStr">
        <is>
          <t>Sa3b</t>
        </is>
      </c>
      <c r="H246" s="30" t="inlineStr">
        <is>
          <t>Ta2reekhy</t>
        </is>
      </c>
      <c r="I246" s="32" t="inlineStr">
        <is>
          <t>علي الحجار</t>
        </is>
      </c>
      <c r="J246" s="32" t="n"/>
      <c r="K246" s="32" t="n"/>
      <c r="L246" s="33">
        <f>IF(B246="","",IF(LEFT(TRIM(B246),2)="ال",MID(TRIM(B246),3,1),LEFT(TRIM(B246),1)))</f>
        <v/>
      </c>
      <c r="M246" s="28">
        <f>IF(B246="","",LEN(TRIM(B246))-LEN(SUBSTITUTE(TRIM(B246)," ",""))+1)</f>
        <v/>
      </c>
      <c r="N246" s="31" t="inlineStr">
        <is>
          <t>Rage3ha</t>
        </is>
      </c>
    </row>
    <row r="247" ht="15" customHeight="1" s="21">
      <c r="A247" s="28" t="n">
        <v>246</v>
      </c>
      <c r="B247" s="29" t="inlineStr">
        <is>
          <t>ذئاب الجبل</t>
        </is>
      </c>
      <c r="C247" s="30" t="inlineStr">
        <is>
          <t>Zeyab El Gabal</t>
        </is>
      </c>
      <c r="D247" s="31" t="inlineStr">
        <is>
          <t>Mosalsal</t>
        </is>
      </c>
      <c r="E247" s="31" t="n">
        <v>1992</v>
      </c>
      <c r="F247" s="28">
        <f>IF(E247="","",IF(E247&lt;1970,"Abyad w eswed",IF(E247&lt;2000,"70s-90s",IF(E247&lt;2015,"2000s","Gedeed"))))</f>
        <v/>
      </c>
      <c r="G247" s="31" t="inlineStr">
        <is>
          <t>Sa3b</t>
        </is>
      </c>
      <c r="H247" s="30" t="inlineStr">
        <is>
          <t>Drama</t>
        </is>
      </c>
      <c r="I247" s="32" t="inlineStr">
        <is>
          <t>أحمد عبد العزيز</t>
        </is>
      </c>
      <c r="J247" s="32" t="n"/>
      <c r="K247" s="32" t="n"/>
      <c r="L247" s="33">
        <f>IF(B247="","",IF(LEFT(TRIM(B247),2)="ال",MID(TRIM(B247),3,1),LEFT(TRIM(B247),1)))</f>
        <v/>
      </c>
      <c r="M247" s="28">
        <f>IF(B247="","",LEN(TRIM(B247))-LEN(SUBSTITUTE(TRIM(B247)," ",""))+1)</f>
        <v/>
      </c>
      <c r="N247" s="31" t="inlineStr">
        <is>
          <t>Rage3ha</t>
        </is>
      </c>
    </row>
    <row r="248" ht="15" customHeight="1" s="21">
      <c r="A248" s="28" t="n">
        <v>247</v>
      </c>
      <c r="B248" s="29" t="inlineStr">
        <is>
          <t>أرابيسك</t>
        </is>
      </c>
      <c r="C248" s="30" t="inlineStr">
        <is>
          <t>Arabesque</t>
        </is>
      </c>
      <c r="D248" s="31" t="inlineStr">
        <is>
          <t>Mosalsal</t>
        </is>
      </c>
      <c r="E248" s="31" t="n">
        <v>1994</v>
      </c>
      <c r="F248" s="28">
        <f>IF(E248="","",IF(E248&lt;1970,"Abyad w eswed",IF(E248&lt;2000,"70s-90s",IF(E248&lt;2015,"2000s","Gedeed"))))</f>
        <v/>
      </c>
      <c r="G248" s="31" t="inlineStr">
        <is>
          <t>Wasat</t>
        </is>
      </c>
      <c r="H248" s="30" t="inlineStr">
        <is>
          <t>Drama</t>
        </is>
      </c>
      <c r="I248" s="32" t="inlineStr">
        <is>
          <t>صلاح السعدني</t>
        </is>
      </c>
      <c r="J248" s="32" t="inlineStr">
        <is>
          <t>حسن أرابيسك</t>
        </is>
      </c>
      <c r="K248" s="32" t="n"/>
      <c r="L248" s="33">
        <f>IF(B248="","",IF(LEFT(TRIM(B248),2)="ال",MID(TRIM(B248),3,1),LEFT(TRIM(B248),1)))</f>
        <v/>
      </c>
      <c r="M248" s="28">
        <f>IF(B248="","",LEN(TRIM(B248))-LEN(SUBSTITUTE(TRIM(B248)," ",""))+1)</f>
        <v/>
      </c>
      <c r="N248" s="31" t="inlineStr">
        <is>
          <t>Draft</t>
        </is>
      </c>
    </row>
    <row r="249" ht="15" customHeight="1" s="21">
      <c r="A249" s="28" t="n">
        <v>248</v>
      </c>
      <c r="B249" s="29" t="inlineStr">
        <is>
          <t>الوتد</t>
        </is>
      </c>
      <c r="C249" s="30" t="inlineStr">
        <is>
          <t>El Watad</t>
        </is>
      </c>
      <c r="D249" s="31" t="inlineStr">
        <is>
          <t>Mosalsal</t>
        </is>
      </c>
      <c r="E249" s="31" t="n">
        <v>1996</v>
      </c>
      <c r="F249" s="28">
        <f>IF(E249="","",IF(E249&lt;1970,"Abyad w eswed",IF(E249&lt;2000,"70s-90s",IF(E249&lt;2015,"2000s","Gedeed"))))</f>
        <v/>
      </c>
      <c r="G249" s="31" t="inlineStr">
        <is>
          <t>Sa3b</t>
        </is>
      </c>
      <c r="H249" s="30" t="inlineStr">
        <is>
          <t>Drama</t>
        </is>
      </c>
      <c r="I249" s="32" t="inlineStr">
        <is>
          <t>هدى سلطان</t>
        </is>
      </c>
      <c r="J249" s="32" t="inlineStr">
        <is>
          <t>فاطمة تعلبة</t>
        </is>
      </c>
      <c r="K249" s="32" t="n"/>
      <c r="L249" s="33">
        <f>IF(B249="","",IF(LEFT(TRIM(B249),2)="ال",MID(TRIM(B249),3,1),LEFT(TRIM(B249),1)))</f>
        <v/>
      </c>
      <c r="M249" s="28">
        <f>IF(B249="","",LEN(TRIM(B249))-LEN(SUBSTITUTE(TRIM(B249)," ",""))+1)</f>
        <v/>
      </c>
      <c r="N249" s="31" t="inlineStr">
        <is>
          <t>Draft</t>
        </is>
      </c>
    </row>
    <row r="250" ht="15" customHeight="1" s="21">
      <c r="A250" s="28" t="n">
        <v>249</v>
      </c>
      <c r="B250" s="29" t="inlineStr">
        <is>
          <t>لن أعيش في جلباب أبي</t>
        </is>
      </c>
      <c r="C250" s="30" t="inlineStr">
        <is>
          <t>Lan A3eesh fi Galabeyet Abi</t>
        </is>
      </c>
      <c r="D250" s="31" t="inlineStr">
        <is>
          <t>Mosalsal</t>
        </is>
      </c>
      <c r="E250" s="31" t="n">
        <v>1996</v>
      </c>
      <c r="F250" s="28">
        <f>IF(E250="","",IF(E250&lt;1970,"Abyad w eswed",IF(E250&lt;2000,"70s-90s",IF(E250&lt;2015,"2000s","Gedeed"))))</f>
        <v/>
      </c>
      <c r="G250" s="31" t="inlineStr">
        <is>
          <t>Sahl</t>
        </is>
      </c>
      <c r="H250" s="30" t="inlineStr">
        <is>
          <t>Drama</t>
        </is>
      </c>
      <c r="I250" s="32" t="inlineStr">
        <is>
          <t>نور الشريف</t>
        </is>
      </c>
      <c r="J250" s="32" t="inlineStr">
        <is>
          <t>عبد الغفور البرعي</t>
        </is>
      </c>
      <c r="K250" s="32" t="n"/>
      <c r="L250" s="33">
        <f>IF(B250="","",IF(LEFT(TRIM(B250),2)="ال",MID(TRIM(B250),3,1),LEFT(TRIM(B250),1)))</f>
        <v/>
      </c>
      <c r="M250" s="28">
        <f>IF(B250="","",LEN(TRIM(B250))-LEN(SUBSTITUTE(TRIM(B250)," ",""))+1)</f>
        <v/>
      </c>
      <c r="N250" s="31" t="inlineStr">
        <is>
          <t>Draft</t>
        </is>
      </c>
    </row>
    <row r="251" ht="15" customHeight="1" s="21">
      <c r="A251" s="28" t="n">
        <v>250</v>
      </c>
      <c r="B251" s="29" t="inlineStr">
        <is>
          <t>زيزينيا</t>
        </is>
      </c>
      <c r="C251" s="30" t="inlineStr">
        <is>
          <t>Zizinia</t>
        </is>
      </c>
      <c r="D251" s="31" t="inlineStr">
        <is>
          <t>Mosalsal</t>
        </is>
      </c>
      <c r="E251" s="31" t="n">
        <v>1997</v>
      </c>
      <c r="F251" s="28">
        <f>IF(E251="","",IF(E251&lt;1970,"Abyad w eswed",IF(E251&lt;2000,"70s-90s",IF(E251&lt;2015,"2000s","Gedeed"))))</f>
        <v/>
      </c>
      <c r="G251" s="31" t="inlineStr">
        <is>
          <t>Wasat</t>
        </is>
      </c>
      <c r="H251" s="30" t="inlineStr">
        <is>
          <t>Drama</t>
        </is>
      </c>
      <c r="I251" s="32" t="inlineStr">
        <is>
          <t>يحيى الفخراني</t>
        </is>
      </c>
      <c r="J251" s="32" t="inlineStr">
        <is>
          <t>بشر عامر عبد الظاهر</t>
        </is>
      </c>
      <c r="K251" s="32" t="n"/>
      <c r="L251" s="33">
        <f>IF(B251="","",IF(LEFT(TRIM(B251),2)="ال",MID(TRIM(B251),3,1),LEFT(TRIM(B251),1)))</f>
        <v/>
      </c>
      <c r="M251" s="28">
        <f>IF(B251="","",LEN(TRIM(B251))-LEN(SUBSTITUTE(TRIM(B251)," ",""))+1)</f>
        <v/>
      </c>
      <c r="N251" s="31" t="inlineStr">
        <is>
          <t>Draft</t>
        </is>
      </c>
    </row>
    <row r="252" ht="15" customHeight="1" s="21">
      <c r="A252" s="28" t="n">
        <v>251</v>
      </c>
      <c r="B252" s="29" t="inlineStr">
        <is>
          <t>الضوء الشارد</t>
        </is>
      </c>
      <c r="C252" s="30" t="inlineStr">
        <is>
          <t>El Do2 El Shared</t>
        </is>
      </c>
      <c r="D252" s="31" t="inlineStr">
        <is>
          <t>Mosalsal</t>
        </is>
      </c>
      <c r="E252" s="31" t="n">
        <v>1998</v>
      </c>
      <c r="F252" s="28">
        <f>IF(E252="","",IF(E252&lt;1970,"Abyad w eswed",IF(E252&lt;2000,"70s-90s",IF(E252&lt;2015,"2000s","Gedeed"))))</f>
        <v/>
      </c>
      <c r="G252" s="31" t="inlineStr">
        <is>
          <t>Wasat</t>
        </is>
      </c>
      <c r="H252" s="30" t="inlineStr">
        <is>
          <t>Drama</t>
        </is>
      </c>
      <c r="I252" s="32" t="inlineStr">
        <is>
          <t>ممدوح عبد العليم</t>
        </is>
      </c>
      <c r="J252" s="32" t="inlineStr">
        <is>
          <t>رفيع بيه</t>
        </is>
      </c>
      <c r="K252" s="32" t="n"/>
      <c r="L252" s="33">
        <f>IF(B252="","",IF(LEFT(TRIM(B252),2)="ال",MID(TRIM(B252),3,1),LEFT(TRIM(B252),1)))</f>
        <v/>
      </c>
      <c r="M252" s="28">
        <f>IF(B252="","",LEN(TRIM(B252))-LEN(SUBSTITUTE(TRIM(B252)," ",""))+1)</f>
        <v/>
      </c>
      <c r="N252" s="31" t="inlineStr">
        <is>
          <t>Draft</t>
        </is>
      </c>
    </row>
    <row r="253" ht="15" customHeight="1" s="21">
      <c r="A253" s="28" t="n">
        <v>252</v>
      </c>
      <c r="B253" s="29" t="inlineStr">
        <is>
          <t>أم كلثوم</t>
        </is>
      </c>
      <c r="C253" s="30" t="inlineStr">
        <is>
          <t>Om Kalthoum</t>
        </is>
      </c>
      <c r="D253" s="31" t="inlineStr">
        <is>
          <t>Mosalsal</t>
        </is>
      </c>
      <c r="E253" s="31" t="n">
        <v>1999</v>
      </c>
      <c r="F253" s="28">
        <f>IF(E253="","",IF(E253&lt;1970,"Abyad w eswed",IF(E253&lt;2000,"70s-90s",IF(E253&lt;2015,"2000s","Gedeed"))))</f>
        <v/>
      </c>
      <c r="G253" s="31" t="inlineStr">
        <is>
          <t>Wasat</t>
        </is>
      </c>
      <c r="H253" s="30" t="inlineStr">
        <is>
          <t>Ta2reekhy</t>
        </is>
      </c>
      <c r="I253" s="32" t="inlineStr">
        <is>
          <t>صابرين</t>
        </is>
      </c>
      <c r="J253" s="32" t="inlineStr">
        <is>
          <t>أم كلثوم</t>
        </is>
      </c>
      <c r="K253" s="32" t="n"/>
      <c r="L253" s="33">
        <f>IF(B253="","",IF(LEFT(TRIM(B253),2)="ال",MID(TRIM(B253),3,1),LEFT(TRIM(B253),1)))</f>
        <v/>
      </c>
      <c r="M253" s="28">
        <f>IF(B253="","",LEN(TRIM(B253))-LEN(SUBSTITUTE(TRIM(B253)," ",""))+1)</f>
        <v/>
      </c>
      <c r="N253" s="31" t="inlineStr">
        <is>
          <t>Draft</t>
        </is>
      </c>
    </row>
    <row r="254" ht="15" customHeight="1" s="21">
      <c r="A254" s="28" t="n">
        <v>253</v>
      </c>
      <c r="B254" s="29" t="inlineStr">
        <is>
          <t>سابع جار</t>
        </is>
      </c>
      <c r="C254" s="30" t="inlineStr">
        <is>
          <t>Sabe3 Gar</t>
        </is>
      </c>
      <c r="D254" s="31" t="inlineStr">
        <is>
          <t>Mosalsal</t>
        </is>
      </c>
      <c r="E254" s="31" t="n">
        <v>2017</v>
      </c>
      <c r="F254" s="28">
        <f>IF(E254="","",IF(E254&lt;1970,"Abyad w eswed",IF(E254&lt;2000,"70s-90s",IF(E254&lt;2015,"2000s","Gedeed"))))</f>
        <v/>
      </c>
      <c r="G254" s="31" t="inlineStr">
        <is>
          <t>Wasat</t>
        </is>
      </c>
      <c r="H254" s="30" t="inlineStr">
        <is>
          <t>Drama</t>
        </is>
      </c>
      <c r="I254" s="32" t="inlineStr">
        <is>
          <t>دلال عبد العزيز</t>
        </is>
      </c>
      <c r="J254" s="32" t="n"/>
      <c r="K254" s="32" t="n"/>
      <c r="L254" s="33">
        <f>IF(B254="","",IF(LEFT(TRIM(B254),2)="ال",MID(TRIM(B254),3,1),LEFT(TRIM(B254),1)))</f>
        <v/>
      </c>
      <c r="M254" s="28">
        <f>IF(B254="","",LEN(TRIM(B254))-LEN(SUBSTITUTE(TRIM(B254)," ",""))+1)</f>
        <v/>
      </c>
      <c r="N254" s="31" t="inlineStr">
        <is>
          <t>Rage3ha</t>
        </is>
      </c>
    </row>
    <row r="255" ht="15" customHeight="1" s="21">
      <c r="A255" s="28" t="n">
        <v>254</v>
      </c>
      <c r="B255" s="29" t="inlineStr">
        <is>
          <t>ليه لأ</t>
        </is>
      </c>
      <c r="C255" s="30" t="inlineStr">
        <is>
          <t>Leh La2</t>
        </is>
      </c>
      <c r="D255" s="31" t="inlineStr">
        <is>
          <t>Mosalsal</t>
        </is>
      </c>
      <c r="E255" s="31" t="n">
        <v>2020</v>
      </c>
      <c r="F255" s="28">
        <f>IF(E255="","",IF(E255&lt;1970,"Abyad w eswed",IF(E255&lt;2000,"70s-90s",IF(E255&lt;2015,"2000s","Gedeed"))))</f>
        <v/>
      </c>
      <c r="G255" s="31" t="inlineStr">
        <is>
          <t>Wasat</t>
        </is>
      </c>
      <c r="H255" s="30" t="inlineStr">
        <is>
          <t>Drama</t>
        </is>
      </c>
      <c r="I255" s="32" t="inlineStr">
        <is>
          <t>أمينة خليل</t>
        </is>
      </c>
      <c r="J255" s="32" t="n"/>
      <c r="K255" s="32" t="n"/>
      <c r="L255" s="33">
        <f>IF(B255="","",IF(LEFT(TRIM(B255),2)="ال",MID(TRIM(B255),3,1),LEFT(TRIM(B255),1)))</f>
        <v/>
      </c>
      <c r="M255" s="28">
        <f>IF(B255="","",LEN(TRIM(B255))-LEN(SUBSTITUTE(TRIM(B255)," ",""))+1)</f>
        <v/>
      </c>
      <c r="N255" s="31" t="inlineStr">
        <is>
          <t>Draft</t>
        </is>
      </c>
    </row>
    <row r="256" ht="15" customHeight="1" s="21">
      <c r="A256" s="28" t="n">
        <v>255</v>
      </c>
      <c r="B256" s="29" t="inlineStr">
        <is>
          <t>ما وراء الطبيعة</t>
        </is>
      </c>
      <c r="C256" s="30" t="inlineStr">
        <is>
          <t>Ma Wara2 El Tabe3a</t>
        </is>
      </c>
      <c r="D256" s="31" t="inlineStr">
        <is>
          <t>Mosalsal</t>
        </is>
      </c>
      <c r="E256" s="31" t="n">
        <v>2020</v>
      </c>
      <c r="F256" s="28">
        <f>IF(E256="","",IF(E256&lt;1970,"Abyad w eswed",IF(E256&lt;2000,"70s-90s",IF(E256&lt;2015,"2000s","Gedeed"))))</f>
        <v/>
      </c>
      <c r="G256" s="31" t="inlineStr">
        <is>
          <t>Wasat</t>
        </is>
      </c>
      <c r="H256" s="30" t="inlineStr">
        <is>
          <t>Horror</t>
        </is>
      </c>
      <c r="I256" s="32" t="inlineStr">
        <is>
          <t>أحمد أمين</t>
        </is>
      </c>
      <c r="J256" s="32" t="inlineStr">
        <is>
          <t>رفعت إسماعيل</t>
        </is>
      </c>
      <c r="K256" s="32" t="n"/>
      <c r="L256" s="33">
        <f>IF(B256="","",IF(LEFT(TRIM(B256),2)="ال",MID(TRIM(B256),3,1),LEFT(TRIM(B256),1)))</f>
        <v/>
      </c>
      <c r="M256" s="28">
        <f>IF(B256="","",LEN(TRIM(B256))-LEN(SUBSTITUTE(TRIM(B256)," ",""))+1)</f>
        <v/>
      </c>
      <c r="N256" s="31" t="inlineStr">
        <is>
          <t>Draft</t>
        </is>
      </c>
    </row>
    <row r="257" ht="15" customHeight="1" s="21">
      <c r="A257" s="28" t="n">
        <v>256</v>
      </c>
      <c r="B257" s="29" t="inlineStr">
        <is>
          <t>البيت بيتي</t>
        </is>
      </c>
      <c r="C257" s="30" t="inlineStr">
        <is>
          <t>El Beit Beity</t>
        </is>
      </c>
      <c r="D257" s="31" t="inlineStr">
        <is>
          <t>Mosalsal</t>
        </is>
      </c>
      <c r="E257" s="31" t="n">
        <v>2023</v>
      </c>
      <c r="F257" s="28">
        <f>IF(E257="","",IF(E257&lt;1970,"Abyad w eswed",IF(E257&lt;2000,"70s-90s",IF(E257&lt;2015,"2000s","Gedeed"))))</f>
        <v/>
      </c>
      <c r="G257" s="31" t="inlineStr">
        <is>
          <t>Wasat</t>
        </is>
      </c>
      <c r="H257" s="30" t="inlineStr">
        <is>
          <t>Comedy</t>
        </is>
      </c>
      <c r="I257" s="32" t="inlineStr">
        <is>
          <t>كريم محمود عبد العزيز</t>
        </is>
      </c>
      <c r="J257" s="32" t="n"/>
      <c r="K257" s="32" t="n"/>
      <c r="L257" s="33">
        <f>IF(B257="","",IF(LEFT(TRIM(B257),2)="ال",MID(TRIM(B257),3,1),LEFT(TRIM(B257),1)))</f>
        <v/>
      </c>
      <c r="M257" s="28">
        <f>IF(B257="","",LEN(TRIM(B257))-LEN(SUBSTITUTE(TRIM(B257)," ",""))+1)</f>
        <v/>
      </c>
      <c r="N257" s="31" t="inlineStr">
        <is>
          <t>Rage3ha</t>
        </is>
      </c>
    </row>
    <row r="258" ht="15" customHeight="1" s="21">
      <c r="A258" s="28" t="n">
        <v>257</v>
      </c>
      <c r="B258" s="29" t="inlineStr">
        <is>
          <t>الهرشة السابعة</t>
        </is>
      </c>
      <c r="C258" s="30" t="inlineStr">
        <is>
          <t>El Harsha El Sab3a</t>
        </is>
      </c>
      <c r="D258" s="31" t="inlineStr">
        <is>
          <t>Mosalsal</t>
        </is>
      </c>
      <c r="E258" s="31" t="n">
        <v>2023</v>
      </c>
      <c r="F258" s="28">
        <f>IF(E258="","",IF(E258&lt;1970,"Abyad w eswed",IF(E258&lt;2000,"70s-90s",IF(E258&lt;2015,"2000s","Gedeed"))))</f>
        <v/>
      </c>
      <c r="G258" s="31" t="inlineStr">
        <is>
          <t>Wasat</t>
        </is>
      </c>
      <c r="H258" s="30" t="inlineStr">
        <is>
          <t>Comedy</t>
        </is>
      </c>
      <c r="I258" s="32" t="inlineStr">
        <is>
          <t>محمد شاهين</t>
        </is>
      </c>
      <c r="J258" s="32" t="n"/>
      <c r="K258" s="32" t="n"/>
      <c r="L258" s="33">
        <f>IF(B258="","",IF(LEFT(TRIM(B258),2)="ال",MID(TRIM(B258),3,1),LEFT(TRIM(B258),1)))</f>
        <v/>
      </c>
      <c r="M258" s="28">
        <f>IF(B258="","",LEN(TRIM(B258))-LEN(SUBSTITUTE(TRIM(B258)," ",""))+1)</f>
        <v/>
      </c>
      <c r="N258" s="31" t="inlineStr">
        <is>
          <t>Rage3ha</t>
        </is>
      </c>
    </row>
    <row r="259" ht="15" customHeight="1" s="21">
      <c r="A259" s="28" t="n">
        <v>258</v>
      </c>
      <c r="B259" s="29" t="inlineStr">
        <is>
          <t>بالطو</t>
        </is>
      </c>
      <c r="C259" s="30" t="inlineStr">
        <is>
          <t>Balto</t>
        </is>
      </c>
      <c r="D259" s="31" t="inlineStr">
        <is>
          <t>Mosalsal</t>
        </is>
      </c>
      <c r="E259" s="31" t="n">
        <v>2023</v>
      </c>
      <c r="F259" s="28">
        <f>IF(E259="","",IF(E259&lt;1970,"Abyad w eswed",IF(E259&lt;2000,"70s-90s",IF(E259&lt;2015,"2000s","Gedeed"))))</f>
        <v/>
      </c>
      <c r="G259" s="31" t="inlineStr">
        <is>
          <t>Wasat</t>
        </is>
      </c>
      <c r="H259" s="30" t="inlineStr">
        <is>
          <t>Comedy</t>
        </is>
      </c>
      <c r="I259" s="32" t="inlineStr">
        <is>
          <t>عصام عمر</t>
        </is>
      </c>
      <c r="J259" s="32" t="n"/>
      <c r="K259" s="32" t="n"/>
      <c r="L259" s="33">
        <f>IF(B259="","",IF(LEFT(TRIM(B259),2)="ال",MID(TRIM(B259),3,1),LEFT(TRIM(B259),1)))</f>
        <v/>
      </c>
      <c r="M259" s="28">
        <f>IF(B259="","",LEN(TRIM(B259))-LEN(SUBSTITUTE(TRIM(B259)," ",""))+1)</f>
        <v/>
      </c>
      <c r="N259" s="31" t="inlineStr">
        <is>
          <t>Rage3ha</t>
        </is>
      </c>
    </row>
    <row r="260" ht="15" customHeight="1" s="21">
      <c r="A260" s="28" t="n">
        <v>259</v>
      </c>
      <c r="B260" s="29" t="inlineStr">
        <is>
          <t>العطار والسبع بنات</t>
        </is>
      </c>
      <c r="C260" s="30" t="inlineStr">
        <is>
          <t>El 3attar wel Sab3 Banat</t>
        </is>
      </c>
      <c r="D260" s="31" t="inlineStr">
        <is>
          <t>Ramadan</t>
        </is>
      </c>
      <c r="E260" s="31" t="n">
        <v>2001</v>
      </c>
      <c r="F260" s="28">
        <f>IF(E260="","",IF(E260&lt;1970,"Abyad w eswed",IF(E260&lt;2000,"70s-90s",IF(E260&lt;2015,"2000s","Gedeed"))))</f>
        <v/>
      </c>
      <c r="G260" s="31" t="inlineStr">
        <is>
          <t>Wasat</t>
        </is>
      </c>
      <c r="H260" s="30" t="inlineStr">
        <is>
          <t>Drama</t>
        </is>
      </c>
      <c r="I260" s="32" t="inlineStr">
        <is>
          <t>نور الشريف</t>
        </is>
      </c>
      <c r="J260" s="32" t="n"/>
      <c r="K260" s="32" t="n"/>
      <c r="L260" s="33">
        <f>IF(B260="","",IF(LEFT(TRIM(B260),2)="ال",MID(TRIM(B260),3,1),LEFT(TRIM(B260),1)))</f>
        <v/>
      </c>
      <c r="M260" s="28">
        <f>IF(B260="","",LEN(TRIM(B260))-LEN(SUBSTITUTE(TRIM(B260)," ",""))+1)</f>
        <v/>
      </c>
      <c r="N260" s="31" t="inlineStr">
        <is>
          <t>Draft</t>
        </is>
      </c>
    </row>
    <row r="261" ht="15" customHeight="1" s="21">
      <c r="A261" s="28" t="n">
        <v>260</v>
      </c>
      <c r="B261" s="29" t="inlineStr">
        <is>
          <t>عائلة الحاج متولي</t>
        </is>
      </c>
      <c r="C261" s="30" t="inlineStr">
        <is>
          <t>3a2elet El 7ag Metwally</t>
        </is>
      </c>
      <c r="D261" s="31" t="inlineStr">
        <is>
          <t>Ramadan</t>
        </is>
      </c>
      <c r="E261" s="31" t="n">
        <v>2001</v>
      </c>
      <c r="F261" s="28">
        <f>IF(E261="","",IF(E261&lt;1970,"Abyad w eswed",IF(E261&lt;2000,"70s-90s",IF(E261&lt;2015,"2000s","Gedeed"))))</f>
        <v/>
      </c>
      <c r="G261" s="31" t="inlineStr">
        <is>
          <t>Sahl</t>
        </is>
      </c>
      <c r="H261" s="30" t="inlineStr">
        <is>
          <t>Comedy</t>
        </is>
      </c>
      <c r="I261" s="32" t="inlineStr">
        <is>
          <t>نور الشريف</t>
        </is>
      </c>
      <c r="J261" s="32" t="inlineStr">
        <is>
          <t>الحاج متولي</t>
        </is>
      </c>
      <c r="K261" s="32" t="n"/>
      <c r="L261" s="33">
        <f>IF(B261="","",IF(LEFT(TRIM(B261),2)="ال",MID(TRIM(B261),3,1),LEFT(TRIM(B261),1)))</f>
        <v/>
      </c>
      <c r="M261" s="28">
        <f>IF(B261="","",LEN(TRIM(B261))-LEN(SUBSTITUTE(TRIM(B261)," ",""))+1)</f>
        <v/>
      </c>
      <c r="N261" s="31" t="inlineStr">
        <is>
          <t>Draft</t>
        </is>
      </c>
    </row>
    <row r="262" ht="15" customHeight="1" s="21">
      <c r="A262" s="28" t="n">
        <v>261</v>
      </c>
      <c r="B262" s="29" t="inlineStr">
        <is>
          <t>الملك فاروق</t>
        </is>
      </c>
      <c r="C262" s="30" t="inlineStr">
        <is>
          <t>El Malek Farouk</t>
        </is>
      </c>
      <c r="D262" s="31" t="inlineStr">
        <is>
          <t>Ramadan</t>
        </is>
      </c>
      <c r="E262" s="31" t="n">
        <v>2007</v>
      </c>
      <c r="F262" s="28">
        <f>IF(E262="","",IF(E262&lt;1970,"Abyad w eswed",IF(E262&lt;2000,"70s-90s",IF(E262&lt;2015,"2000s","Gedeed"))))</f>
        <v/>
      </c>
      <c r="G262" s="31" t="inlineStr">
        <is>
          <t>Wasat</t>
        </is>
      </c>
      <c r="H262" s="30" t="inlineStr">
        <is>
          <t>Ta2reekhy</t>
        </is>
      </c>
      <c r="I262" s="32" t="inlineStr">
        <is>
          <t>تيم حسن</t>
        </is>
      </c>
      <c r="J262" s="32" t="inlineStr">
        <is>
          <t>الملك فاروق</t>
        </is>
      </c>
      <c r="K262" s="32" t="n"/>
      <c r="L262" s="33">
        <f>IF(B262="","",IF(LEFT(TRIM(B262),2)="ال",MID(TRIM(B262),3,1),LEFT(TRIM(B262),1)))</f>
        <v/>
      </c>
      <c r="M262" s="28">
        <f>IF(B262="","",LEN(TRIM(B262))-LEN(SUBSTITUTE(TRIM(B262)," ",""))+1)</f>
        <v/>
      </c>
      <c r="N262" s="31" t="inlineStr">
        <is>
          <t>Draft</t>
        </is>
      </c>
    </row>
    <row r="263" ht="15" customHeight="1" s="21">
      <c r="A263" s="28" t="n">
        <v>262</v>
      </c>
      <c r="B263" s="29" t="inlineStr">
        <is>
          <t>يتربى في عزو</t>
        </is>
      </c>
      <c r="C263" s="30" t="inlineStr">
        <is>
          <t>Yetraba fi 3ezzo</t>
        </is>
      </c>
      <c r="D263" s="31" t="inlineStr">
        <is>
          <t>Ramadan</t>
        </is>
      </c>
      <c r="E263" s="31" t="n">
        <v>2007</v>
      </c>
      <c r="F263" s="28">
        <f>IF(E263="","",IF(E263&lt;1970,"Abyad w eswed",IF(E263&lt;2000,"70s-90s",IF(E263&lt;2015,"2000s","Gedeed"))))</f>
        <v/>
      </c>
      <c r="G263" s="31" t="inlineStr">
        <is>
          <t>Sahl</t>
        </is>
      </c>
      <c r="H263" s="30" t="inlineStr">
        <is>
          <t>Comedy</t>
        </is>
      </c>
      <c r="I263" s="32" t="inlineStr">
        <is>
          <t>يحيى الفخراني</t>
        </is>
      </c>
      <c r="J263" s="32" t="inlineStr">
        <is>
          <t>حمادة عزو</t>
        </is>
      </c>
      <c r="K263" s="32" t="n"/>
      <c r="L263" s="33">
        <f>IF(B263="","",IF(LEFT(TRIM(B263),2)="ال",MID(TRIM(B263),3,1),LEFT(TRIM(B263),1)))</f>
        <v/>
      </c>
      <c r="M263" s="28">
        <f>IF(B263="","",LEN(TRIM(B263))-LEN(SUBSTITUTE(TRIM(B263)," ",""))+1)</f>
        <v/>
      </c>
      <c r="N263" s="31" t="inlineStr">
        <is>
          <t>Draft</t>
        </is>
      </c>
    </row>
    <row r="264" ht="15" customHeight="1" s="21">
      <c r="A264" s="28" t="n">
        <v>263</v>
      </c>
      <c r="B264" s="29" t="inlineStr">
        <is>
          <t>الجماعة</t>
        </is>
      </c>
      <c r="C264" s="30" t="inlineStr">
        <is>
          <t>El Gama3a</t>
        </is>
      </c>
      <c r="D264" s="31" t="inlineStr">
        <is>
          <t>Ramadan</t>
        </is>
      </c>
      <c r="E264" s="31" t="n">
        <v>2010</v>
      </c>
      <c r="F264" s="28">
        <f>IF(E264="","",IF(E264&lt;1970,"Abyad w eswed",IF(E264&lt;2000,"70s-90s",IF(E264&lt;2015,"2000s","Gedeed"))))</f>
        <v/>
      </c>
      <c r="G264" s="31" t="inlineStr">
        <is>
          <t>Sa3b</t>
        </is>
      </c>
      <c r="H264" s="30" t="inlineStr">
        <is>
          <t>Drama</t>
        </is>
      </c>
      <c r="I264" s="32" t="inlineStr">
        <is>
          <t>إياد نصار</t>
        </is>
      </c>
      <c r="J264" s="32" t="inlineStr">
        <is>
          <t>حسن البنا</t>
        </is>
      </c>
      <c r="K264" s="32" t="n"/>
      <c r="L264" s="33">
        <f>IF(B264="","",IF(LEFT(TRIM(B264),2)="ال",MID(TRIM(B264),3,1),LEFT(TRIM(B264),1)))</f>
        <v/>
      </c>
      <c r="M264" s="28">
        <f>IF(B264="","",LEN(TRIM(B264))-LEN(SUBSTITUTE(TRIM(B264)," ",""))+1)</f>
        <v/>
      </c>
      <c r="N264" s="31" t="inlineStr">
        <is>
          <t>Draft</t>
        </is>
      </c>
    </row>
    <row r="265" ht="15" customHeight="1" s="21">
      <c r="A265" s="28" t="n">
        <v>264</v>
      </c>
      <c r="B265" s="29" t="inlineStr">
        <is>
          <t>الكبير أوي</t>
        </is>
      </c>
      <c r="C265" s="30" t="inlineStr">
        <is>
          <t>El Kebir Awy</t>
        </is>
      </c>
      <c r="D265" s="31" t="inlineStr">
        <is>
          <t>Ramadan</t>
        </is>
      </c>
      <c r="E265" s="31" t="n">
        <v>2010</v>
      </c>
      <c r="F265" s="28">
        <f>IF(E265="","",IF(E265&lt;1970,"Abyad w eswed",IF(E265&lt;2000,"70s-90s",IF(E265&lt;2015,"2000s","Gedeed"))))</f>
        <v/>
      </c>
      <c r="G265" s="31" t="inlineStr">
        <is>
          <t>Sahl</t>
        </is>
      </c>
      <c r="H265" s="30" t="inlineStr">
        <is>
          <t>Comedy</t>
        </is>
      </c>
      <c r="I265" s="32" t="inlineStr">
        <is>
          <t>أحمد مكي</t>
        </is>
      </c>
      <c r="J265" s="32" t="inlineStr">
        <is>
          <t>الكبير</t>
        </is>
      </c>
      <c r="K265" s="32" t="n"/>
      <c r="L265" s="33">
        <f>IF(B265="","",IF(LEFT(TRIM(B265),2)="ال",MID(TRIM(B265),3,1),LEFT(TRIM(B265),1)))</f>
        <v/>
      </c>
      <c r="M265" s="28">
        <f>IF(B265="","",LEN(TRIM(B265))-LEN(SUBSTITUTE(TRIM(B265)," ",""))+1)</f>
        <v/>
      </c>
      <c r="N265" s="31" t="inlineStr">
        <is>
          <t>Draft</t>
        </is>
      </c>
    </row>
    <row r="266" ht="15" customHeight="1" s="21">
      <c r="A266" s="28" t="n">
        <v>265</v>
      </c>
      <c r="B266" s="29" t="inlineStr">
        <is>
          <t>شيخ العرب همام</t>
        </is>
      </c>
      <c r="C266" s="30" t="inlineStr">
        <is>
          <t>Sheikh El 3arab Hammam</t>
        </is>
      </c>
      <c r="D266" s="31" t="inlineStr">
        <is>
          <t>Ramadan</t>
        </is>
      </c>
      <c r="E266" s="31" t="n">
        <v>2010</v>
      </c>
      <c r="F266" s="28">
        <f>IF(E266="","",IF(E266&lt;1970,"Abyad w eswed",IF(E266&lt;2000,"70s-90s",IF(E266&lt;2015,"2000s","Gedeed"))))</f>
        <v/>
      </c>
      <c r="G266" s="31" t="inlineStr">
        <is>
          <t>Wasat</t>
        </is>
      </c>
      <c r="H266" s="30" t="inlineStr">
        <is>
          <t>Ta2reekhy</t>
        </is>
      </c>
      <c r="I266" s="32" t="inlineStr">
        <is>
          <t>يحيى الفخراني</t>
        </is>
      </c>
      <c r="J266" s="32" t="inlineStr">
        <is>
          <t>همام</t>
        </is>
      </c>
      <c r="K266" s="32" t="n"/>
      <c r="L266" s="33">
        <f>IF(B266="","",IF(LEFT(TRIM(B266),2)="ال",MID(TRIM(B266),3,1),LEFT(TRIM(B266),1)))</f>
        <v/>
      </c>
      <c r="M266" s="28">
        <f>IF(B266="","",LEN(TRIM(B266))-LEN(SUBSTITUTE(TRIM(B266)," ",""))+1)</f>
        <v/>
      </c>
      <c r="N266" s="31" t="inlineStr">
        <is>
          <t>Draft</t>
        </is>
      </c>
    </row>
    <row r="267" ht="15" customHeight="1" s="21">
      <c r="A267" s="28" t="n">
        <v>266</v>
      </c>
      <c r="B267" s="29" t="inlineStr">
        <is>
          <t>الخواجة عبد القادر</t>
        </is>
      </c>
      <c r="C267" s="30" t="inlineStr">
        <is>
          <t>El Khawaga 3abd El 2ader</t>
        </is>
      </c>
      <c r="D267" s="31" t="inlineStr">
        <is>
          <t>Ramadan</t>
        </is>
      </c>
      <c r="E267" s="31" t="n">
        <v>2012</v>
      </c>
      <c r="F267" s="28">
        <f>IF(E267="","",IF(E267&lt;1970,"Abyad w eswed",IF(E267&lt;2000,"70s-90s",IF(E267&lt;2015,"2000s","Gedeed"))))</f>
        <v/>
      </c>
      <c r="G267" s="31" t="inlineStr">
        <is>
          <t>Wasat</t>
        </is>
      </c>
      <c r="H267" s="30" t="inlineStr">
        <is>
          <t>Drama</t>
        </is>
      </c>
      <c r="I267" s="32" t="inlineStr">
        <is>
          <t>يحيى الفخراني</t>
        </is>
      </c>
      <c r="J267" s="32" t="inlineStr">
        <is>
          <t>عبد القادر</t>
        </is>
      </c>
      <c r="K267" s="32" t="n"/>
      <c r="L267" s="33">
        <f>IF(B267="","",IF(LEFT(TRIM(B267),2)="ال",MID(TRIM(B267),3,1),LEFT(TRIM(B267),1)))</f>
        <v/>
      </c>
      <c r="M267" s="28">
        <f>IF(B267="","",LEN(TRIM(B267))-LEN(SUBSTITUTE(TRIM(B267)," ",""))+1)</f>
        <v/>
      </c>
      <c r="N267" s="31" t="inlineStr">
        <is>
          <t>Draft</t>
        </is>
      </c>
    </row>
    <row r="268" ht="15" customHeight="1" s="21">
      <c r="A268" s="28" t="n">
        <v>267</v>
      </c>
      <c r="B268" s="29" t="inlineStr">
        <is>
          <t>شربات لوز</t>
        </is>
      </c>
      <c r="C268" s="30" t="inlineStr">
        <is>
          <t>Sharbat Louz</t>
        </is>
      </c>
      <c r="D268" s="31" t="inlineStr">
        <is>
          <t>Ramadan</t>
        </is>
      </c>
      <c r="E268" s="31" t="n">
        <v>2012</v>
      </c>
      <c r="F268" s="28">
        <f>IF(E268="","",IF(E268&lt;1970,"Abyad w eswed",IF(E268&lt;2000,"70s-90s",IF(E268&lt;2015,"2000s","Gedeed"))))</f>
        <v/>
      </c>
      <c r="G268" s="31" t="inlineStr">
        <is>
          <t>Wasat</t>
        </is>
      </c>
      <c r="H268" s="30" t="inlineStr">
        <is>
          <t>Comedy</t>
        </is>
      </c>
      <c r="I268" s="32" t="inlineStr">
        <is>
          <t>يسرا</t>
        </is>
      </c>
      <c r="J268" s="32" t="inlineStr">
        <is>
          <t>شربات</t>
        </is>
      </c>
      <c r="K268" s="32" t="n"/>
      <c r="L268" s="33">
        <f>IF(B268="","",IF(LEFT(TRIM(B268),2)="ال",MID(TRIM(B268),3,1),LEFT(TRIM(B268),1)))</f>
        <v/>
      </c>
      <c r="M268" s="28">
        <f>IF(B268="","",LEN(TRIM(B268))-LEN(SUBSTITUTE(TRIM(B268)," ",""))+1)</f>
        <v/>
      </c>
      <c r="N268" s="31" t="inlineStr">
        <is>
          <t>Draft</t>
        </is>
      </c>
    </row>
    <row r="269" ht="15" customHeight="1" s="21">
      <c r="A269" s="28" t="n">
        <v>268</v>
      </c>
      <c r="B269" s="29" t="inlineStr">
        <is>
          <t>فرقة ناجي عطا الله</t>
        </is>
      </c>
      <c r="C269" s="30" t="inlineStr">
        <is>
          <t>Fer2et Nagy 3ata Allah</t>
        </is>
      </c>
      <c r="D269" s="31" t="inlineStr">
        <is>
          <t>Ramadan</t>
        </is>
      </c>
      <c r="E269" s="31" t="n">
        <v>2012</v>
      </c>
      <c r="F269" s="28">
        <f>IF(E269="","",IF(E269&lt;1970,"Abyad w eswed",IF(E269&lt;2000,"70s-90s",IF(E269&lt;2015,"2000s","Gedeed"))))</f>
        <v/>
      </c>
      <c r="G269" s="31" t="inlineStr">
        <is>
          <t>Wasat</t>
        </is>
      </c>
      <c r="H269" s="30" t="inlineStr">
        <is>
          <t>Comedy</t>
        </is>
      </c>
      <c r="I269" s="32" t="inlineStr">
        <is>
          <t>عادل إمام</t>
        </is>
      </c>
      <c r="J269" s="32" t="inlineStr">
        <is>
          <t>ناجي عطا الله</t>
        </is>
      </c>
      <c r="K269" s="32" t="n"/>
      <c r="L269" s="33">
        <f>IF(B269="","",IF(LEFT(TRIM(B269),2)="ال",MID(TRIM(B269),3,1),LEFT(TRIM(B269),1)))</f>
        <v/>
      </c>
      <c r="M269" s="28">
        <f>IF(B269="","",LEN(TRIM(B269))-LEN(SUBSTITUTE(TRIM(B269)," ",""))+1)</f>
        <v/>
      </c>
      <c r="N269" s="31" t="inlineStr">
        <is>
          <t>Draft</t>
        </is>
      </c>
    </row>
    <row r="270" ht="15" customHeight="1" s="21">
      <c r="A270" s="28" t="n">
        <v>269</v>
      </c>
      <c r="B270" s="29" t="inlineStr">
        <is>
          <t>العراف</t>
        </is>
      </c>
      <c r="C270" s="30" t="inlineStr">
        <is>
          <t>El 3arraf</t>
        </is>
      </c>
      <c r="D270" s="31" t="inlineStr">
        <is>
          <t>Ramadan</t>
        </is>
      </c>
      <c r="E270" s="31" t="n">
        <v>2013</v>
      </c>
      <c r="F270" s="28">
        <f>IF(E270="","",IF(E270&lt;1970,"Abyad w eswed",IF(E270&lt;2000,"70s-90s",IF(E270&lt;2015,"2000s","Gedeed"))))</f>
        <v/>
      </c>
      <c r="G270" s="31" t="inlineStr">
        <is>
          <t>Wasat</t>
        </is>
      </c>
      <c r="H270" s="30" t="inlineStr">
        <is>
          <t>Comedy</t>
        </is>
      </c>
      <c r="I270" s="32" t="inlineStr">
        <is>
          <t>عادل إمام</t>
        </is>
      </c>
      <c r="J270" s="32" t="n"/>
      <c r="K270" s="32" t="n"/>
      <c r="L270" s="33">
        <f>IF(B270="","",IF(LEFT(TRIM(B270),2)="ال",MID(TRIM(B270),3,1),LEFT(TRIM(B270),1)))</f>
        <v/>
      </c>
      <c r="M270" s="28">
        <f>IF(B270="","",LEN(TRIM(B270))-LEN(SUBSTITUTE(TRIM(B270)," ",""))+1)</f>
        <v/>
      </c>
      <c r="N270" s="31" t="inlineStr">
        <is>
          <t>Draft</t>
        </is>
      </c>
    </row>
    <row r="271" ht="15" customHeight="1" s="21">
      <c r="A271" s="28" t="n">
        <v>270</v>
      </c>
      <c r="B271" s="29" t="inlineStr">
        <is>
          <t>ذات</t>
        </is>
      </c>
      <c r="C271" s="30" t="inlineStr">
        <is>
          <t>Zat</t>
        </is>
      </c>
      <c r="D271" s="31" t="inlineStr">
        <is>
          <t>Ramadan</t>
        </is>
      </c>
      <c r="E271" s="31" t="n">
        <v>2013</v>
      </c>
      <c r="F271" s="28">
        <f>IF(E271="","",IF(E271&lt;1970,"Abyad w eswed",IF(E271&lt;2000,"70s-90s",IF(E271&lt;2015,"2000s","Gedeed"))))</f>
        <v/>
      </c>
      <c r="G271" s="31" t="inlineStr">
        <is>
          <t>Sa3b</t>
        </is>
      </c>
      <c r="H271" s="30" t="inlineStr">
        <is>
          <t>Drama</t>
        </is>
      </c>
      <c r="I271" s="32" t="inlineStr">
        <is>
          <t>نيللي كريم</t>
        </is>
      </c>
      <c r="J271" s="32" t="inlineStr">
        <is>
          <t>ذات</t>
        </is>
      </c>
      <c r="K271" s="32" t="n"/>
      <c r="L271" s="33">
        <f>IF(B271="","",IF(LEFT(TRIM(B271),2)="ال",MID(TRIM(B271),3,1),LEFT(TRIM(B271),1)))</f>
        <v/>
      </c>
      <c r="M271" s="28">
        <f>IF(B271="","",LEN(TRIM(B271))-LEN(SUBSTITUTE(TRIM(B271)," ",""))+1)</f>
        <v/>
      </c>
      <c r="N271" s="31" t="inlineStr">
        <is>
          <t>Draft</t>
        </is>
      </c>
    </row>
    <row r="272" ht="15" customHeight="1" s="21">
      <c r="A272" s="28" t="n">
        <v>271</v>
      </c>
      <c r="B272" s="29" t="inlineStr">
        <is>
          <t>دهشة</t>
        </is>
      </c>
      <c r="C272" s="30" t="inlineStr">
        <is>
          <t>Dahsha</t>
        </is>
      </c>
      <c r="D272" s="31" t="inlineStr">
        <is>
          <t>Ramadan</t>
        </is>
      </c>
      <c r="E272" s="31" t="n">
        <v>2014</v>
      </c>
      <c r="F272" s="28">
        <f>IF(E272="","",IF(E272&lt;1970,"Abyad w eswed",IF(E272&lt;2000,"70s-90s",IF(E272&lt;2015,"2000s","Gedeed"))))</f>
        <v/>
      </c>
      <c r="G272" s="31" t="inlineStr">
        <is>
          <t>Sa3b</t>
        </is>
      </c>
      <c r="H272" s="30" t="inlineStr">
        <is>
          <t>Drama</t>
        </is>
      </c>
      <c r="I272" s="32" t="inlineStr">
        <is>
          <t>يحيى الفخراني</t>
        </is>
      </c>
      <c r="J272" s="32" t="n"/>
      <c r="K272" s="32" t="n"/>
      <c r="L272" s="33">
        <f>IF(B272="","",IF(LEFT(TRIM(B272),2)="ال",MID(TRIM(B272),3,1),LEFT(TRIM(B272),1)))</f>
        <v/>
      </c>
      <c r="M272" s="28">
        <f>IF(B272="","",LEN(TRIM(B272))-LEN(SUBSTITUTE(TRIM(B272)," ",""))+1)</f>
        <v/>
      </c>
      <c r="N272" s="31" t="inlineStr">
        <is>
          <t>Draft</t>
        </is>
      </c>
    </row>
    <row r="273" ht="15" customHeight="1" s="21">
      <c r="A273" s="28" t="n">
        <v>272</v>
      </c>
      <c r="B273" s="29" t="inlineStr">
        <is>
          <t>سجن النسا</t>
        </is>
      </c>
      <c r="C273" s="30" t="inlineStr">
        <is>
          <t>Segn El Nesa</t>
        </is>
      </c>
      <c r="D273" s="31" t="inlineStr">
        <is>
          <t>Ramadan</t>
        </is>
      </c>
      <c r="E273" s="31" t="n">
        <v>2014</v>
      </c>
      <c r="F273" s="28">
        <f>IF(E273="","",IF(E273&lt;1970,"Abyad w eswed",IF(E273&lt;2000,"70s-90s",IF(E273&lt;2015,"2000s","Gedeed"))))</f>
        <v/>
      </c>
      <c r="G273" s="31" t="inlineStr">
        <is>
          <t>Wasat</t>
        </is>
      </c>
      <c r="H273" s="30" t="inlineStr">
        <is>
          <t>Drama</t>
        </is>
      </c>
      <c r="I273" s="32" t="inlineStr">
        <is>
          <t>نيللي كريم</t>
        </is>
      </c>
      <c r="J273" s="32" t="inlineStr">
        <is>
          <t>غالية</t>
        </is>
      </c>
      <c r="K273" s="32" t="n"/>
      <c r="L273" s="33">
        <f>IF(B273="","",IF(LEFT(TRIM(B273),2)="ال",MID(TRIM(B273),3,1),LEFT(TRIM(B273),1)))</f>
        <v/>
      </c>
      <c r="M273" s="28">
        <f>IF(B273="","",LEN(TRIM(B273))-LEN(SUBSTITUTE(TRIM(B273)," ",""))+1)</f>
        <v/>
      </c>
      <c r="N273" s="31" t="inlineStr">
        <is>
          <t>Draft</t>
        </is>
      </c>
    </row>
    <row r="274" ht="15" customHeight="1" s="21">
      <c r="A274" s="28" t="n">
        <v>273</v>
      </c>
      <c r="B274" s="29" t="inlineStr">
        <is>
          <t>صاحب السعادة</t>
        </is>
      </c>
      <c r="C274" s="30" t="inlineStr">
        <is>
          <t>Sa7eb El Sa3ada</t>
        </is>
      </c>
      <c r="D274" s="31" t="inlineStr">
        <is>
          <t>Ramadan</t>
        </is>
      </c>
      <c r="E274" s="31" t="n">
        <v>2014</v>
      </c>
      <c r="F274" s="28">
        <f>IF(E274="","",IF(E274&lt;1970,"Abyad w eswed",IF(E274&lt;2000,"70s-90s",IF(E274&lt;2015,"2000s","Gedeed"))))</f>
        <v/>
      </c>
      <c r="G274" s="31" t="inlineStr">
        <is>
          <t>Wasat</t>
        </is>
      </c>
      <c r="H274" s="30" t="inlineStr">
        <is>
          <t>Comedy</t>
        </is>
      </c>
      <c r="I274" s="32" t="inlineStr">
        <is>
          <t>عادل إمام</t>
        </is>
      </c>
      <c r="J274" s="32" t="n"/>
      <c r="K274" s="32" t="n"/>
      <c r="L274" s="33">
        <f>IF(B274="","",IF(LEFT(TRIM(B274),2)="ال",MID(TRIM(B274),3,1),LEFT(TRIM(B274),1)))</f>
        <v/>
      </c>
      <c r="M274" s="28">
        <f>IF(B274="","",LEN(TRIM(B274))-LEN(SUBSTITUTE(TRIM(B274)," ",""))+1)</f>
        <v/>
      </c>
      <c r="N274" s="31" t="inlineStr">
        <is>
          <t>Draft</t>
        </is>
      </c>
    </row>
    <row r="275" ht="15" customHeight="1" s="21">
      <c r="A275" s="28" t="n">
        <v>274</v>
      </c>
      <c r="B275" s="29" t="inlineStr">
        <is>
          <t>تحت السيطرة</t>
        </is>
      </c>
      <c r="C275" s="30" t="inlineStr">
        <is>
          <t>Ta7t El Saytara</t>
        </is>
      </c>
      <c r="D275" s="31" t="inlineStr">
        <is>
          <t>Ramadan</t>
        </is>
      </c>
      <c r="E275" s="31" t="n">
        <v>2015</v>
      </c>
      <c r="F275" s="28">
        <f>IF(E275="","",IF(E275&lt;1970,"Abyad w eswed",IF(E275&lt;2000,"70s-90s",IF(E275&lt;2015,"2000s","Gedeed"))))</f>
        <v/>
      </c>
      <c r="G275" s="31" t="inlineStr">
        <is>
          <t>Wasat</t>
        </is>
      </c>
      <c r="H275" s="30" t="inlineStr">
        <is>
          <t>Drama</t>
        </is>
      </c>
      <c r="I275" s="32" t="inlineStr">
        <is>
          <t>نيللي كريم</t>
        </is>
      </c>
      <c r="J275" s="32" t="n"/>
      <c r="K275" s="32" t="n"/>
      <c r="L275" s="33">
        <f>IF(B275="","",IF(LEFT(TRIM(B275),2)="ال",MID(TRIM(B275),3,1),LEFT(TRIM(B275),1)))</f>
        <v/>
      </c>
      <c r="M275" s="28">
        <f>IF(B275="","",LEN(TRIM(B275))-LEN(SUBSTITUTE(TRIM(B275)," ",""))+1)</f>
        <v/>
      </c>
      <c r="N275" s="31" t="inlineStr">
        <is>
          <t>Draft</t>
        </is>
      </c>
    </row>
    <row r="276" ht="15" customHeight="1" s="21">
      <c r="A276" s="28" t="n">
        <v>275</v>
      </c>
      <c r="B276" s="29" t="inlineStr">
        <is>
          <t>حارة اليهود</t>
        </is>
      </c>
      <c r="C276" s="30" t="inlineStr">
        <is>
          <t>7aret El Yahoud</t>
        </is>
      </c>
      <c r="D276" s="31" t="inlineStr">
        <is>
          <t>Ramadan</t>
        </is>
      </c>
      <c r="E276" s="31" t="n">
        <v>2015</v>
      </c>
      <c r="F276" s="28">
        <f>IF(E276="","",IF(E276&lt;1970,"Abyad w eswed",IF(E276&lt;2000,"70s-90s",IF(E276&lt;2015,"2000s","Gedeed"))))</f>
        <v/>
      </c>
      <c r="G276" s="31" t="inlineStr">
        <is>
          <t>Wasat</t>
        </is>
      </c>
      <c r="H276" s="30" t="inlineStr">
        <is>
          <t>Drama</t>
        </is>
      </c>
      <c r="I276" s="32" t="inlineStr">
        <is>
          <t>منة شلبي</t>
        </is>
      </c>
      <c r="J276" s="32" t="n"/>
      <c r="K276" s="32" t="n"/>
      <c r="L276" s="33">
        <f>IF(B276="","",IF(LEFT(TRIM(B276),2)="ال",MID(TRIM(B276),3,1),LEFT(TRIM(B276),1)))</f>
        <v/>
      </c>
      <c r="M276" s="28">
        <f>IF(B276="","",LEN(TRIM(B276))-LEN(SUBSTITUTE(TRIM(B276)," ",""))+1)</f>
        <v/>
      </c>
      <c r="N276" s="31" t="inlineStr">
        <is>
          <t>Draft</t>
        </is>
      </c>
    </row>
    <row r="277" ht="15" customHeight="1" s="21">
      <c r="A277" s="28" t="n">
        <v>276</v>
      </c>
      <c r="B277" s="29" t="inlineStr">
        <is>
          <t>الأسطورة</t>
        </is>
      </c>
      <c r="C277" s="30" t="inlineStr">
        <is>
          <t>El Ostoura</t>
        </is>
      </c>
      <c r="D277" s="31" t="inlineStr">
        <is>
          <t>Ramadan</t>
        </is>
      </c>
      <c r="E277" s="31" t="n">
        <v>2016</v>
      </c>
      <c r="F277" s="28">
        <f>IF(E277="","",IF(E277&lt;1970,"Abyad w eswed",IF(E277&lt;2000,"70s-90s",IF(E277&lt;2015,"2000s","Gedeed"))))</f>
        <v/>
      </c>
      <c r="G277" s="31" t="inlineStr">
        <is>
          <t>Sahl</t>
        </is>
      </c>
      <c r="H277" s="30" t="inlineStr">
        <is>
          <t>Action</t>
        </is>
      </c>
      <c r="I277" s="32" t="inlineStr">
        <is>
          <t>محمد رمضان</t>
        </is>
      </c>
      <c r="J277" s="32" t="inlineStr">
        <is>
          <t>ناصر الدسوقي</t>
        </is>
      </c>
      <c r="K277" s="32" t="n"/>
      <c r="L277" s="33">
        <f>IF(B277="","",IF(LEFT(TRIM(B277),2)="ال",MID(TRIM(B277),3,1),LEFT(TRIM(B277),1)))</f>
        <v/>
      </c>
      <c r="M277" s="28">
        <f>IF(B277="","",LEN(TRIM(B277))-LEN(SUBSTITUTE(TRIM(B277)," ",""))+1)</f>
        <v/>
      </c>
      <c r="N277" s="31" t="inlineStr">
        <is>
          <t>Draft</t>
        </is>
      </c>
    </row>
    <row r="278" ht="15" customHeight="1" s="21">
      <c r="A278" s="28" t="n">
        <v>277</v>
      </c>
      <c r="B278" s="29" t="inlineStr">
        <is>
          <t>مأمون وشركاه</t>
        </is>
      </c>
      <c r="C278" s="30" t="inlineStr">
        <is>
          <t>Ma2moun w Shoraka2o</t>
        </is>
      </c>
      <c r="D278" s="31" t="inlineStr">
        <is>
          <t>Ramadan</t>
        </is>
      </c>
      <c r="E278" s="31" t="n">
        <v>2016</v>
      </c>
      <c r="F278" s="28">
        <f>IF(E278="","",IF(E278&lt;1970,"Abyad w eswed",IF(E278&lt;2000,"70s-90s",IF(E278&lt;2015,"2000s","Gedeed"))))</f>
        <v/>
      </c>
      <c r="G278" s="31" t="inlineStr">
        <is>
          <t>Wasat</t>
        </is>
      </c>
      <c r="H278" s="30" t="inlineStr">
        <is>
          <t>Comedy</t>
        </is>
      </c>
      <c r="I278" s="32" t="inlineStr">
        <is>
          <t>عادل إمام</t>
        </is>
      </c>
      <c r="J278" s="32" t="inlineStr">
        <is>
          <t>مأمون</t>
        </is>
      </c>
      <c r="K278" s="32" t="n"/>
      <c r="L278" s="33">
        <f>IF(B278="","",IF(LEFT(TRIM(B278),2)="ال",MID(TRIM(B278),3,1),LEFT(TRIM(B278),1)))</f>
        <v/>
      </c>
      <c r="M278" s="28">
        <f>IF(B278="","",LEN(TRIM(B278))-LEN(SUBSTITUTE(TRIM(B278)," ",""))+1)</f>
        <v/>
      </c>
      <c r="N278" s="31" t="inlineStr">
        <is>
          <t>Draft</t>
        </is>
      </c>
    </row>
    <row r="279" ht="15" customHeight="1" s="21">
      <c r="A279" s="28" t="n">
        <v>278</v>
      </c>
      <c r="B279" s="29" t="inlineStr">
        <is>
          <t>ونوس</t>
        </is>
      </c>
      <c r="C279" s="30" t="inlineStr">
        <is>
          <t>Wannous</t>
        </is>
      </c>
      <c r="D279" s="31" t="inlineStr">
        <is>
          <t>Ramadan</t>
        </is>
      </c>
      <c r="E279" s="31" t="n">
        <v>2016</v>
      </c>
      <c r="F279" s="28">
        <f>IF(E279="","",IF(E279&lt;1970,"Abyad w eswed",IF(E279&lt;2000,"70s-90s",IF(E279&lt;2015,"2000s","Gedeed"))))</f>
        <v/>
      </c>
      <c r="G279" s="31" t="inlineStr">
        <is>
          <t>Wasat</t>
        </is>
      </c>
      <c r="H279" s="30" t="inlineStr">
        <is>
          <t>Drama</t>
        </is>
      </c>
      <c r="I279" s="32" t="inlineStr">
        <is>
          <t>يحيى الفخراني</t>
        </is>
      </c>
      <c r="J279" s="32" t="inlineStr">
        <is>
          <t>ونوس</t>
        </is>
      </c>
      <c r="K279" s="32" t="n"/>
      <c r="L279" s="33">
        <f>IF(B279="","",IF(LEFT(TRIM(B279),2)="ال",MID(TRIM(B279),3,1),LEFT(TRIM(B279),1)))</f>
        <v/>
      </c>
      <c r="M279" s="28">
        <f>IF(B279="","",LEN(TRIM(B279))-LEN(SUBSTITUTE(TRIM(B279)," ",""))+1)</f>
        <v/>
      </c>
      <c r="N279" s="31" t="inlineStr">
        <is>
          <t>Draft</t>
        </is>
      </c>
    </row>
    <row r="280" ht="15" customHeight="1" s="21">
      <c r="A280" s="28" t="n">
        <v>279</v>
      </c>
      <c r="B280" s="29" t="inlineStr">
        <is>
          <t>يونس ولد فضة</t>
        </is>
      </c>
      <c r="C280" s="30" t="inlineStr">
        <is>
          <t>Younes Walad Fedda</t>
        </is>
      </c>
      <c r="D280" s="31" t="inlineStr">
        <is>
          <t>Ramadan</t>
        </is>
      </c>
      <c r="E280" s="31" t="n">
        <v>2016</v>
      </c>
      <c r="F280" s="28">
        <f>IF(E280="","",IF(E280&lt;1970,"Abyad w eswed",IF(E280&lt;2000,"70s-90s",IF(E280&lt;2015,"2000s","Gedeed"))))</f>
        <v/>
      </c>
      <c r="G280" s="31" t="inlineStr">
        <is>
          <t>Wasat</t>
        </is>
      </c>
      <c r="H280" s="30" t="inlineStr">
        <is>
          <t>Drama</t>
        </is>
      </c>
      <c r="I280" s="32" t="inlineStr">
        <is>
          <t>عمرو سعد</t>
        </is>
      </c>
      <c r="J280" s="32" t="inlineStr">
        <is>
          <t>يونس</t>
        </is>
      </c>
      <c r="K280" s="32" t="n"/>
      <c r="L280" s="33">
        <f>IF(B280="","",IF(LEFT(TRIM(B280),2)="ال",MID(TRIM(B280),3,1),LEFT(TRIM(B280),1)))</f>
        <v/>
      </c>
      <c r="M280" s="28">
        <f>IF(B280="","",LEN(TRIM(B280))-LEN(SUBSTITUTE(TRIM(B280)," ",""))+1)</f>
        <v/>
      </c>
      <c r="N280" s="31" t="inlineStr">
        <is>
          <t>Draft</t>
        </is>
      </c>
    </row>
    <row r="281" ht="15" customHeight="1" s="21">
      <c r="A281" s="28" t="n">
        <v>280</v>
      </c>
      <c r="B281" s="29" t="inlineStr">
        <is>
          <t>الأب الروحي</t>
        </is>
      </c>
      <c r="C281" s="30" t="inlineStr">
        <is>
          <t>El Ab El Rou7y</t>
        </is>
      </c>
      <c r="D281" s="31" t="inlineStr">
        <is>
          <t>Ramadan</t>
        </is>
      </c>
      <c r="E281" s="31" t="n">
        <v>2017</v>
      </c>
      <c r="F281" s="28">
        <f>IF(E281="","",IF(E281&lt;1970,"Abyad w eswed",IF(E281&lt;2000,"70s-90s",IF(E281&lt;2015,"2000s","Gedeed"))))</f>
        <v/>
      </c>
      <c r="G281" s="31" t="inlineStr">
        <is>
          <t>Wasat</t>
        </is>
      </c>
      <c r="H281" s="30" t="inlineStr">
        <is>
          <t>Crime</t>
        </is>
      </c>
      <c r="I281" s="32" t="inlineStr">
        <is>
          <t>محمود حميدة</t>
        </is>
      </c>
      <c r="J281" s="32" t="n"/>
      <c r="K281" s="32" t="n"/>
      <c r="L281" s="33">
        <f>IF(B281="","",IF(LEFT(TRIM(B281),2)="ال",MID(TRIM(B281),3,1),LEFT(TRIM(B281),1)))</f>
        <v/>
      </c>
      <c r="M281" s="28">
        <f>IF(B281="","",LEN(TRIM(B281))-LEN(SUBSTITUTE(TRIM(B281)," ",""))+1)</f>
        <v/>
      </c>
      <c r="N281" s="31" t="inlineStr">
        <is>
          <t>Draft</t>
        </is>
      </c>
    </row>
    <row r="282" ht="15" customHeight="1" s="21">
      <c r="A282" s="28" t="n">
        <v>281</v>
      </c>
      <c r="B282" s="29" t="inlineStr">
        <is>
          <t>عفاريت عدلي علام</t>
        </is>
      </c>
      <c r="C282" s="30" t="inlineStr">
        <is>
          <t>3afareet 3adly 3allam</t>
        </is>
      </c>
      <c r="D282" s="31" t="inlineStr">
        <is>
          <t>Ramadan</t>
        </is>
      </c>
      <c r="E282" s="31" t="n">
        <v>2017</v>
      </c>
      <c r="F282" s="28">
        <f>IF(E282="","",IF(E282&lt;1970,"Abyad w eswed",IF(E282&lt;2000,"70s-90s",IF(E282&lt;2015,"2000s","Gedeed"))))</f>
        <v/>
      </c>
      <c r="G282" s="31" t="inlineStr">
        <is>
          <t>Wasat</t>
        </is>
      </c>
      <c r="H282" s="30" t="inlineStr">
        <is>
          <t>Comedy</t>
        </is>
      </c>
      <c r="I282" s="32" t="inlineStr">
        <is>
          <t>عادل إمام</t>
        </is>
      </c>
      <c r="J282" s="32" t="inlineStr">
        <is>
          <t>عدلي علام</t>
        </is>
      </c>
      <c r="K282" s="32" t="n"/>
      <c r="L282" s="33">
        <f>IF(B282="","",IF(LEFT(TRIM(B282),2)="ال",MID(TRIM(B282),3,1),LEFT(TRIM(B282),1)))</f>
        <v/>
      </c>
      <c r="M282" s="28">
        <f>IF(B282="","",LEN(TRIM(B282))-LEN(SUBSTITUTE(TRIM(B282)," ",""))+1)</f>
        <v/>
      </c>
      <c r="N282" s="31" t="inlineStr">
        <is>
          <t>Draft</t>
        </is>
      </c>
    </row>
    <row r="283" ht="15" customHeight="1" s="21">
      <c r="A283" s="28" t="n">
        <v>282</v>
      </c>
      <c r="B283" s="29" t="inlineStr">
        <is>
          <t>كلبش</t>
        </is>
      </c>
      <c r="C283" s="30" t="inlineStr">
        <is>
          <t>Kalabsh</t>
        </is>
      </c>
      <c r="D283" s="31" t="inlineStr">
        <is>
          <t>Ramadan</t>
        </is>
      </c>
      <c r="E283" s="31" t="n">
        <v>2017</v>
      </c>
      <c r="F283" s="28">
        <f>IF(E283="","",IF(E283&lt;1970,"Abyad w eswed",IF(E283&lt;2000,"70s-90s",IF(E283&lt;2015,"2000s","Gedeed"))))</f>
        <v/>
      </c>
      <c r="G283" s="31" t="inlineStr">
        <is>
          <t>Sahl</t>
        </is>
      </c>
      <c r="H283" s="30" t="inlineStr">
        <is>
          <t>Action</t>
        </is>
      </c>
      <c r="I283" s="32" t="inlineStr">
        <is>
          <t>أمير كرارة</t>
        </is>
      </c>
      <c r="J283" s="32" t="inlineStr">
        <is>
          <t>سليم الأنصاري</t>
        </is>
      </c>
      <c r="K283" s="32" t="n"/>
      <c r="L283" s="33">
        <f>IF(B283="","",IF(LEFT(TRIM(B283),2)="ال",MID(TRIM(B283),3,1),LEFT(TRIM(B283),1)))</f>
        <v/>
      </c>
      <c r="M283" s="28">
        <f>IF(B283="","",LEN(TRIM(B283))-LEN(SUBSTITUTE(TRIM(B283)," ",""))+1)</f>
        <v/>
      </c>
      <c r="N283" s="31" t="inlineStr">
        <is>
          <t>Draft</t>
        </is>
      </c>
    </row>
    <row r="284" ht="15" customHeight="1" s="21">
      <c r="A284" s="28" t="n">
        <v>283</v>
      </c>
      <c r="B284" s="29" t="inlineStr">
        <is>
          <t>الوصية</t>
        </is>
      </c>
      <c r="C284" s="30" t="inlineStr">
        <is>
          <t>El Wasseya</t>
        </is>
      </c>
      <c r="D284" s="31" t="inlineStr">
        <is>
          <t>Ramadan</t>
        </is>
      </c>
      <c r="E284" s="31" t="n">
        <v>2018</v>
      </c>
      <c r="F284" s="28">
        <f>IF(E284="","",IF(E284&lt;1970,"Abyad w eswed",IF(E284&lt;2000,"70s-90s",IF(E284&lt;2015,"2000s","Gedeed"))))</f>
        <v/>
      </c>
      <c r="G284" s="31" t="inlineStr">
        <is>
          <t>Wasat</t>
        </is>
      </c>
      <c r="H284" s="30" t="inlineStr">
        <is>
          <t>Comedy</t>
        </is>
      </c>
      <c r="I284" s="32" t="inlineStr">
        <is>
          <t>أكرم حسني</t>
        </is>
      </c>
      <c r="J284" s="32" t="n"/>
      <c r="K284" s="32" t="n"/>
      <c r="L284" s="33">
        <f>IF(B284="","",IF(LEFT(TRIM(B284),2)="ال",MID(TRIM(B284),3,1),LEFT(TRIM(B284),1)))</f>
        <v/>
      </c>
      <c r="M284" s="28">
        <f>IF(B284="","",LEN(TRIM(B284))-LEN(SUBSTITUTE(TRIM(B284)," ",""))+1)</f>
        <v/>
      </c>
      <c r="N284" s="31" t="inlineStr">
        <is>
          <t>Rage3ha</t>
        </is>
      </c>
    </row>
    <row r="285" ht="15" customHeight="1" s="21">
      <c r="A285" s="28" t="n">
        <v>284</v>
      </c>
      <c r="B285" s="29" t="inlineStr">
        <is>
          <t>بالحجم العائلي</t>
        </is>
      </c>
      <c r="C285" s="30" t="inlineStr">
        <is>
          <t>Bel 7agm El 3a2ely</t>
        </is>
      </c>
      <c r="D285" s="31" t="inlineStr">
        <is>
          <t>Ramadan</t>
        </is>
      </c>
      <c r="E285" s="31" t="n">
        <v>2018</v>
      </c>
      <c r="F285" s="28">
        <f>IF(E285="","",IF(E285&lt;1970,"Abyad w eswed",IF(E285&lt;2000,"70s-90s",IF(E285&lt;2015,"2000s","Gedeed"))))</f>
        <v/>
      </c>
      <c r="G285" s="31" t="inlineStr">
        <is>
          <t>Wasat</t>
        </is>
      </c>
      <c r="H285" s="30" t="inlineStr">
        <is>
          <t>Comedy</t>
        </is>
      </c>
      <c r="I285" s="32" t="inlineStr">
        <is>
          <t>يحيى الفخراني</t>
        </is>
      </c>
      <c r="J285" s="32" t="n"/>
      <c r="K285" s="32" t="n"/>
      <c r="L285" s="33">
        <f>IF(B285="","",IF(LEFT(TRIM(B285),2)="ال",MID(TRIM(B285),3,1),LEFT(TRIM(B285),1)))</f>
        <v/>
      </c>
      <c r="M285" s="28">
        <f>IF(B285="","",LEN(TRIM(B285))-LEN(SUBSTITUTE(TRIM(B285)," ",""))+1)</f>
        <v/>
      </c>
      <c r="N285" s="31" t="inlineStr">
        <is>
          <t>Draft</t>
        </is>
      </c>
    </row>
    <row r="286" ht="15" customHeight="1" s="21">
      <c r="A286" s="28" t="n">
        <v>285</v>
      </c>
      <c r="B286" s="29" t="inlineStr">
        <is>
          <t>طايع</t>
        </is>
      </c>
      <c r="C286" s="30" t="inlineStr">
        <is>
          <t>Taye3</t>
        </is>
      </c>
      <c r="D286" s="31" t="inlineStr">
        <is>
          <t>Ramadan</t>
        </is>
      </c>
      <c r="E286" s="31" t="n">
        <v>2018</v>
      </c>
      <c r="F286" s="28">
        <f>IF(E286="","",IF(E286&lt;1970,"Abyad w eswed",IF(E286&lt;2000,"70s-90s",IF(E286&lt;2015,"2000s","Gedeed"))))</f>
        <v/>
      </c>
      <c r="G286" s="31" t="inlineStr">
        <is>
          <t>Wasat</t>
        </is>
      </c>
      <c r="H286" s="30" t="inlineStr">
        <is>
          <t>Drama</t>
        </is>
      </c>
      <c r="I286" s="32" t="inlineStr">
        <is>
          <t>عمرو يوسف</t>
        </is>
      </c>
      <c r="J286" s="32" t="inlineStr">
        <is>
          <t>طايع</t>
        </is>
      </c>
      <c r="K286" s="32" t="n"/>
      <c r="L286" s="33">
        <f>IF(B286="","",IF(LEFT(TRIM(B286),2)="ال",MID(TRIM(B286),3,1),LEFT(TRIM(B286),1)))</f>
        <v/>
      </c>
      <c r="M286" s="28">
        <f>IF(B286="","",LEN(TRIM(B286))-LEN(SUBSTITUTE(TRIM(B286)," ",""))+1)</f>
        <v/>
      </c>
      <c r="N286" s="31" t="inlineStr">
        <is>
          <t>Draft</t>
        </is>
      </c>
    </row>
    <row r="287" ht="15" customHeight="1" s="21">
      <c r="A287" s="28" t="n">
        <v>286</v>
      </c>
      <c r="B287" s="29" t="inlineStr">
        <is>
          <t>عوالم خفية</t>
        </is>
      </c>
      <c r="C287" s="30" t="inlineStr">
        <is>
          <t>3awalem Khafeya</t>
        </is>
      </c>
      <c r="D287" s="31" t="inlineStr">
        <is>
          <t>Ramadan</t>
        </is>
      </c>
      <c r="E287" s="31" t="n">
        <v>2018</v>
      </c>
      <c r="F287" s="28">
        <f>IF(E287="","",IF(E287&lt;1970,"Abyad w eswed",IF(E287&lt;2000,"70s-90s",IF(E287&lt;2015,"2000s","Gedeed"))))</f>
        <v/>
      </c>
      <c r="G287" s="31" t="inlineStr">
        <is>
          <t>Wasat</t>
        </is>
      </c>
      <c r="H287" s="30" t="inlineStr">
        <is>
          <t>Drama</t>
        </is>
      </c>
      <c r="I287" s="32" t="inlineStr">
        <is>
          <t>عادل إمام</t>
        </is>
      </c>
      <c r="J287" s="32" t="n"/>
      <c r="K287" s="32" t="n"/>
      <c r="L287" s="33">
        <f>IF(B287="","",IF(LEFT(TRIM(B287),2)="ال",MID(TRIM(B287),3,1),LEFT(TRIM(B287),1)))</f>
        <v/>
      </c>
      <c r="M287" s="28">
        <f>IF(B287="","",LEN(TRIM(B287))-LEN(SUBSTITUTE(TRIM(B287)," ",""))+1)</f>
        <v/>
      </c>
      <c r="N287" s="31" t="inlineStr">
        <is>
          <t>Draft</t>
        </is>
      </c>
    </row>
    <row r="288" ht="15" customHeight="1" s="21">
      <c r="A288" s="28" t="n">
        <v>287</v>
      </c>
      <c r="B288" s="29" t="inlineStr">
        <is>
          <t>نسر الصعيد</t>
        </is>
      </c>
      <c r="C288" s="30" t="inlineStr">
        <is>
          <t>Nesr El Se3eed</t>
        </is>
      </c>
      <c r="D288" s="31" t="inlineStr">
        <is>
          <t>Ramadan</t>
        </is>
      </c>
      <c r="E288" s="31" t="n">
        <v>2018</v>
      </c>
      <c r="F288" s="28">
        <f>IF(E288="","",IF(E288&lt;1970,"Abyad w eswed",IF(E288&lt;2000,"70s-90s",IF(E288&lt;2015,"2000s","Gedeed"))))</f>
        <v/>
      </c>
      <c r="G288" s="31" t="inlineStr">
        <is>
          <t>Wasat</t>
        </is>
      </c>
      <c r="H288" s="30" t="inlineStr">
        <is>
          <t>Action</t>
        </is>
      </c>
      <c r="I288" s="32" t="inlineStr">
        <is>
          <t>محمد رمضان</t>
        </is>
      </c>
      <c r="J288" s="32" t="inlineStr">
        <is>
          <t>زين القناوي</t>
        </is>
      </c>
      <c r="K288" s="32" t="n"/>
      <c r="L288" s="33">
        <f>IF(B288="","",IF(LEFT(TRIM(B288),2)="ال",MID(TRIM(B288),3,1),LEFT(TRIM(B288),1)))</f>
        <v/>
      </c>
      <c r="M288" s="28">
        <f>IF(B288="","",LEN(TRIM(B288))-LEN(SUBSTITUTE(TRIM(B288)," ",""))+1)</f>
        <v/>
      </c>
      <c r="N288" s="31" t="inlineStr">
        <is>
          <t>Draft</t>
        </is>
      </c>
    </row>
    <row r="289" ht="15" customHeight="1" s="21">
      <c r="A289" s="28" t="n">
        <v>288</v>
      </c>
      <c r="B289" s="29" t="inlineStr">
        <is>
          <t>الواد سيد الشحات</t>
        </is>
      </c>
      <c r="C289" s="30" t="inlineStr">
        <is>
          <t>El Wad Sayed El Sha77at</t>
        </is>
      </c>
      <c r="D289" s="31" t="inlineStr">
        <is>
          <t>Ramadan</t>
        </is>
      </c>
      <c r="E289" s="31" t="n">
        <v>2019</v>
      </c>
      <c r="F289" s="28">
        <f>IF(E289="","",IF(E289&lt;1970,"Abyad w eswed",IF(E289&lt;2000,"70s-90s",IF(E289&lt;2015,"2000s","Gedeed"))))</f>
        <v/>
      </c>
      <c r="G289" s="31" t="inlineStr">
        <is>
          <t>Wasat</t>
        </is>
      </c>
      <c r="H289" s="30" t="inlineStr">
        <is>
          <t>Comedy</t>
        </is>
      </c>
      <c r="I289" s="32" t="inlineStr">
        <is>
          <t>أحمد فهمي</t>
        </is>
      </c>
      <c r="J289" s="32" t="inlineStr">
        <is>
          <t>سيد الشحات</t>
        </is>
      </c>
      <c r="K289" s="32" t="n"/>
      <c r="L289" s="33">
        <f>IF(B289="","",IF(LEFT(TRIM(B289),2)="ال",MID(TRIM(B289),3,1),LEFT(TRIM(B289),1)))</f>
        <v/>
      </c>
      <c r="M289" s="28">
        <f>IF(B289="","",LEN(TRIM(B289))-LEN(SUBSTITUTE(TRIM(B289)," ",""))+1)</f>
        <v/>
      </c>
      <c r="N289" s="31" t="inlineStr">
        <is>
          <t>Draft</t>
        </is>
      </c>
    </row>
    <row r="290" ht="15" customHeight="1" s="21">
      <c r="A290" s="28" t="n">
        <v>289</v>
      </c>
      <c r="B290" s="29" t="inlineStr">
        <is>
          <t>الاختيار</t>
        </is>
      </c>
      <c r="C290" s="30" t="inlineStr">
        <is>
          <t>El Ekhteyar</t>
        </is>
      </c>
      <c r="D290" s="31" t="inlineStr">
        <is>
          <t>Ramadan</t>
        </is>
      </c>
      <c r="E290" s="31" t="n">
        <v>2020</v>
      </c>
      <c r="F290" s="28">
        <f>IF(E290="","",IF(E290&lt;1970,"Abyad w eswed",IF(E290&lt;2000,"70s-90s",IF(E290&lt;2015,"2000s","Gedeed"))))</f>
        <v/>
      </c>
      <c r="G290" s="31" t="inlineStr">
        <is>
          <t>Sahl</t>
        </is>
      </c>
      <c r="H290" s="30" t="inlineStr">
        <is>
          <t>Action</t>
        </is>
      </c>
      <c r="I290" s="32" t="inlineStr">
        <is>
          <t>أمير كرارة</t>
        </is>
      </c>
      <c r="J290" s="32" t="inlineStr">
        <is>
          <t>أحمد المنسي</t>
        </is>
      </c>
      <c r="K290" s="32" t="n"/>
      <c r="L290" s="33">
        <f>IF(B290="","",IF(LEFT(TRIM(B290),2)="ال",MID(TRIM(B290),3,1),LEFT(TRIM(B290),1)))</f>
        <v/>
      </c>
      <c r="M290" s="28">
        <f>IF(B290="","",LEN(TRIM(B290))-LEN(SUBSTITUTE(TRIM(B290)," ",""))+1)</f>
        <v/>
      </c>
      <c r="N290" s="31" t="inlineStr">
        <is>
          <t>Draft</t>
        </is>
      </c>
    </row>
    <row r="291" ht="15" customHeight="1" s="21">
      <c r="A291" s="28" t="n">
        <v>290</v>
      </c>
      <c r="B291" s="29" t="inlineStr">
        <is>
          <t>البرنس</t>
        </is>
      </c>
      <c r="C291" s="30" t="inlineStr">
        <is>
          <t>El Prince</t>
        </is>
      </c>
      <c r="D291" s="31" t="inlineStr">
        <is>
          <t>Ramadan</t>
        </is>
      </c>
      <c r="E291" s="31" t="n">
        <v>2020</v>
      </c>
      <c r="F291" s="28">
        <f>IF(E291="","",IF(E291&lt;1970,"Abyad w eswed",IF(E291&lt;2000,"70s-90s",IF(E291&lt;2015,"2000s","Gedeed"))))</f>
        <v/>
      </c>
      <c r="G291" s="31" t="inlineStr">
        <is>
          <t>Sahl</t>
        </is>
      </c>
      <c r="H291" s="30" t="inlineStr">
        <is>
          <t>Drama</t>
        </is>
      </c>
      <c r="I291" s="32" t="inlineStr">
        <is>
          <t>محمد رمضان</t>
        </is>
      </c>
      <c r="J291" s="32" t="inlineStr">
        <is>
          <t>رضوان</t>
        </is>
      </c>
      <c r="K291" s="32" t="n"/>
      <c r="L291" s="33">
        <f>IF(B291="","",IF(LEFT(TRIM(B291),2)="ال",MID(TRIM(B291),3,1),LEFT(TRIM(B291),1)))</f>
        <v/>
      </c>
      <c r="M291" s="28">
        <f>IF(B291="","",LEN(TRIM(B291))-LEN(SUBSTITUTE(TRIM(B291)," ",""))+1)</f>
        <v/>
      </c>
      <c r="N291" s="31" t="inlineStr">
        <is>
          <t>Draft</t>
        </is>
      </c>
    </row>
    <row r="292" ht="15" customHeight="1" s="21">
      <c r="A292" s="28" t="n">
        <v>291</v>
      </c>
      <c r="B292" s="29" t="inlineStr">
        <is>
          <t>اللعبة</t>
        </is>
      </c>
      <c r="C292" s="30" t="inlineStr">
        <is>
          <t>El Le3ba</t>
        </is>
      </c>
      <c r="D292" s="31" t="inlineStr">
        <is>
          <t>Ramadan</t>
        </is>
      </c>
      <c r="E292" s="31" t="n">
        <v>2020</v>
      </c>
      <c r="F292" s="28">
        <f>IF(E292="","",IF(E292&lt;1970,"Abyad w eswed",IF(E292&lt;2000,"70s-90s",IF(E292&lt;2015,"2000s","Gedeed"))))</f>
        <v/>
      </c>
      <c r="G292" s="31" t="inlineStr">
        <is>
          <t>Wasat</t>
        </is>
      </c>
      <c r="H292" s="30" t="inlineStr">
        <is>
          <t>Comedy</t>
        </is>
      </c>
      <c r="I292" s="32" t="inlineStr">
        <is>
          <t>هشام ماجد</t>
        </is>
      </c>
      <c r="J292" s="32" t="n"/>
      <c r="K292" s="32" t="n"/>
      <c r="L292" s="33">
        <f>IF(B292="","",IF(LEFT(TRIM(B292),2)="ال",MID(TRIM(B292),3,1),LEFT(TRIM(B292),1)))</f>
        <v/>
      </c>
      <c r="M292" s="28">
        <f>IF(B292="","",LEN(TRIM(B292))-LEN(SUBSTITUTE(TRIM(B292)," ",""))+1)</f>
        <v/>
      </c>
      <c r="N292" s="31" t="inlineStr">
        <is>
          <t>Draft</t>
        </is>
      </c>
    </row>
    <row r="293" ht="15" customHeight="1" s="21">
      <c r="A293" s="28" t="n">
        <v>292</v>
      </c>
      <c r="B293" s="29" t="inlineStr">
        <is>
          <t>النهاية</t>
        </is>
      </c>
      <c r="C293" s="30" t="inlineStr">
        <is>
          <t>El Nehaya</t>
        </is>
      </c>
      <c r="D293" s="31" t="inlineStr">
        <is>
          <t>Ramadan</t>
        </is>
      </c>
      <c r="E293" s="31" t="n">
        <v>2020</v>
      </c>
      <c r="F293" s="28">
        <f>IF(E293="","",IF(E293&lt;1970,"Abyad w eswed",IF(E293&lt;2000,"70s-90s",IF(E293&lt;2015,"2000s","Gedeed"))))</f>
        <v/>
      </c>
      <c r="G293" s="31" t="inlineStr">
        <is>
          <t>Sa3b</t>
        </is>
      </c>
      <c r="H293" s="30" t="inlineStr">
        <is>
          <t>Drama</t>
        </is>
      </c>
      <c r="I293" s="32" t="inlineStr">
        <is>
          <t>يوسف الشريف</t>
        </is>
      </c>
      <c r="J293" s="32" t="n"/>
      <c r="K293" s="32" t="n"/>
      <c r="L293" s="33">
        <f>IF(B293="","",IF(LEFT(TRIM(B293),2)="ال",MID(TRIM(B293),3,1),LEFT(TRIM(B293),1)))</f>
        <v/>
      </c>
      <c r="M293" s="28">
        <f>IF(B293="","",LEN(TRIM(B293))-LEN(SUBSTITUTE(TRIM(B293)," ",""))+1)</f>
        <v/>
      </c>
      <c r="N293" s="31" t="inlineStr">
        <is>
          <t>Draft</t>
        </is>
      </c>
    </row>
    <row r="294" ht="15" customHeight="1" s="21">
      <c r="A294" s="28" t="n">
        <v>293</v>
      </c>
      <c r="B294" s="29" t="inlineStr">
        <is>
          <t>بـ100 وش</t>
        </is>
      </c>
      <c r="C294" s="30" t="inlineStr">
        <is>
          <t>Be Meet Wesh</t>
        </is>
      </c>
      <c r="D294" s="31" t="inlineStr">
        <is>
          <t>Ramadan</t>
        </is>
      </c>
      <c r="E294" s="31" t="n">
        <v>2020</v>
      </c>
      <c r="F294" s="28">
        <f>IF(E294="","",IF(E294&lt;1970,"Abyad w eswed",IF(E294&lt;2000,"70s-90s",IF(E294&lt;2015,"2000s","Gedeed"))))</f>
        <v/>
      </c>
      <c r="G294" s="31" t="inlineStr">
        <is>
          <t>Sahl</t>
        </is>
      </c>
      <c r="H294" s="30" t="inlineStr">
        <is>
          <t>Comedy</t>
        </is>
      </c>
      <c r="I294" s="32" t="inlineStr">
        <is>
          <t>نيللي كريم</t>
        </is>
      </c>
      <c r="J294" s="32" t="n"/>
      <c r="K294" s="32" t="n"/>
      <c r="L294" s="33">
        <f>IF(B294="","",IF(LEFT(TRIM(B294),2)="ال",MID(TRIM(B294),3,1),LEFT(TRIM(B294),1)))</f>
        <v/>
      </c>
      <c r="M294" s="28">
        <f>IF(B294="","",LEN(TRIM(B294))-LEN(SUBSTITUTE(TRIM(B294)," ",""))+1)</f>
        <v/>
      </c>
      <c r="N294" s="31" t="inlineStr">
        <is>
          <t>Draft</t>
        </is>
      </c>
    </row>
    <row r="295" ht="15" customHeight="1" s="21">
      <c r="A295" s="28" t="n">
        <v>294</v>
      </c>
      <c r="B295" s="29" t="inlineStr">
        <is>
          <t>فلانتينو</t>
        </is>
      </c>
      <c r="C295" s="30" t="inlineStr">
        <is>
          <t>Valentino</t>
        </is>
      </c>
      <c r="D295" s="31" t="inlineStr">
        <is>
          <t>Ramadan</t>
        </is>
      </c>
      <c r="E295" s="31" t="n">
        <v>2020</v>
      </c>
      <c r="F295" s="28">
        <f>IF(E295="","",IF(E295&lt;1970,"Abyad w eswed",IF(E295&lt;2000,"70s-90s",IF(E295&lt;2015,"2000s","Gedeed"))))</f>
        <v/>
      </c>
      <c r="G295" s="31" t="inlineStr">
        <is>
          <t>Wasat</t>
        </is>
      </c>
      <c r="H295" s="30" t="inlineStr">
        <is>
          <t>Comedy</t>
        </is>
      </c>
      <c r="I295" s="32" t="inlineStr">
        <is>
          <t>عادل إمام</t>
        </is>
      </c>
      <c r="J295" s="32" t="inlineStr">
        <is>
          <t>فلانتينو</t>
        </is>
      </c>
      <c r="K295" s="32" t="n"/>
      <c r="L295" s="33">
        <f>IF(B295="","",IF(LEFT(TRIM(B295),2)="ال",MID(TRIM(B295),3,1),LEFT(TRIM(B295),1)))</f>
        <v/>
      </c>
      <c r="M295" s="28">
        <f>IF(B295="","",LEN(TRIM(B295))-LEN(SUBSTITUTE(TRIM(B295)," ",""))+1)</f>
        <v/>
      </c>
      <c r="N295" s="31" t="inlineStr">
        <is>
          <t>Draft</t>
        </is>
      </c>
    </row>
    <row r="296" ht="15" customHeight="1" s="21">
      <c r="A296" s="28" t="n">
        <v>295</v>
      </c>
      <c r="B296" s="29" t="inlineStr">
        <is>
          <t>المداح</t>
        </is>
      </c>
      <c r="C296" s="30" t="inlineStr">
        <is>
          <t>El Madda7</t>
        </is>
      </c>
      <c r="D296" s="31" t="inlineStr">
        <is>
          <t>Ramadan</t>
        </is>
      </c>
      <c r="E296" s="31" t="n">
        <v>2021</v>
      </c>
      <c r="F296" s="28">
        <f>IF(E296="","",IF(E296&lt;1970,"Abyad w eswed",IF(E296&lt;2000,"70s-90s",IF(E296&lt;2015,"2000s","Gedeed"))))</f>
        <v/>
      </c>
      <c r="G296" s="31" t="inlineStr">
        <is>
          <t>Wasat</t>
        </is>
      </c>
      <c r="H296" s="30" t="inlineStr">
        <is>
          <t>Drama</t>
        </is>
      </c>
      <c r="I296" s="32" t="inlineStr">
        <is>
          <t>حمادة هلال</t>
        </is>
      </c>
      <c r="J296" s="32" t="inlineStr">
        <is>
          <t>صابر المداح</t>
        </is>
      </c>
      <c r="K296" s="32" t="n"/>
      <c r="L296" s="33">
        <f>IF(B296="","",IF(LEFT(TRIM(B296),2)="ال",MID(TRIM(B296),3,1),LEFT(TRIM(B296),1)))</f>
        <v/>
      </c>
      <c r="M296" s="28">
        <f>IF(B296="","",LEN(TRIM(B296))-LEN(SUBSTITUTE(TRIM(B296)," ",""))+1)</f>
        <v/>
      </c>
      <c r="N296" s="31" t="inlineStr">
        <is>
          <t>Draft</t>
        </is>
      </c>
    </row>
    <row r="297" ht="15" customHeight="1" s="21">
      <c r="A297" s="28" t="n">
        <v>296</v>
      </c>
      <c r="B297" s="29" t="inlineStr">
        <is>
          <t>لعبة نيوتن</t>
        </is>
      </c>
      <c r="C297" s="30" t="inlineStr">
        <is>
          <t>Le3bet Newton</t>
        </is>
      </c>
      <c r="D297" s="31" t="inlineStr">
        <is>
          <t>Ramadan</t>
        </is>
      </c>
      <c r="E297" s="31" t="n">
        <v>2021</v>
      </c>
      <c r="F297" s="28">
        <f>IF(E297="","",IF(E297&lt;1970,"Abyad w eswed",IF(E297&lt;2000,"70s-90s",IF(E297&lt;2015,"2000s","Gedeed"))))</f>
        <v/>
      </c>
      <c r="G297" s="31" t="inlineStr">
        <is>
          <t>Sa3b</t>
        </is>
      </c>
      <c r="H297" s="30" t="inlineStr">
        <is>
          <t>Drama</t>
        </is>
      </c>
      <c r="I297" s="32" t="inlineStr">
        <is>
          <t>منى زكي</t>
        </is>
      </c>
      <c r="J297" s="32" t="inlineStr">
        <is>
          <t>هنا</t>
        </is>
      </c>
      <c r="K297" s="32" t="n"/>
      <c r="L297" s="33">
        <f>IF(B297="","",IF(LEFT(TRIM(B297),2)="ال",MID(TRIM(B297),3,1),LEFT(TRIM(B297),1)))</f>
        <v/>
      </c>
      <c r="M297" s="28">
        <f>IF(B297="","",LEN(TRIM(B297))-LEN(SUBSTITUTE(TRIM(B297)," ",""))+1)</f>
        <v/>
      </c>
      <c r="N297" s="31" t="inlineStr">
        <is>
          <t>Draft</t>
        </is>
      </c>
    </row>
    <row r="298" ht="15" customHeight="1" s="21">
      <c r="A298" s="28" t="n">
        <v>297</v>
      </c>
      <c r="B298" s="29" t="inlineStr">
        <is>
          <t>موسى</t>
        </is>
      </c>
      <c r="C298" s="30" t="inlineStr">
        <is>
          <t>Mousa</t>
        </is>
      </c>
      <c r="D298" s="31" t="inlineStr">
        <is>
          <t>Ramadan</t>
        </is>
      </c>
      <c r="E298" s="31" t="n">
        <v>2021</v>
      </c>
      <c r="F298" s="28">
        <f>IF(E298="","",IF(E298&lt;1970,"Abyad w eswed",IF(E298&lt;2000,"70s-90s",IF(E298&lt;2015,"2000s","Gedeed"))))</f>
        <v/>
      </c>
      <c r="G298" s="31" t="inlineStr">
        <is>
          <t>Wasat</t>
        </is>
      </c>
      <c r="H298" s="30" t="inlineStr">
        <is>
          <t>Drama</t>
        </is>
      </c>
      <c r="I298" s="32" t="inlineStr">
        <is>
          <t>محمد رمضان</t>
        </is>
      </c>
      <c r="J298" s="32" t="inlineStr">
        <is>
          <t>موسى</t>
        </is>
      </c>
      <c r="K298" s="32" t="n"/>
      <c r="L298" s="33">
        <f>IF(B298="","",IF(LEFT(TRIM(B298),2)="ال",MID(TRIM(B298),3,1),LEFT(TRIM(B298),1)))</f>
        <v/>
      </c>
      <c r="M298" s="28">
        <f>IF(B298="","",LEN(TRIM(B298))-LEN(SUBSTITUTE(TRIM(B298)," ",""))+1)</f>
        <v/>
      </c>
      <c r="N298" s="31" t="inlineStr">
        <is>
          <t>Draft</t>
        </is>
      </c>
    </row>
    <row r="299" ht="15" customHeight="1" s="21">
      <c r="A299" s="28" t="n">
        <v>298</v>
      </c>
      <c r="B299" s="29" t="inlineStr">
        <is>
          <t>جزيرة غمام</t>
        </is>
      </c>
      <c r="C299" s="30" t="inlineStr">
        <is>
          <t>Gezeret Ghamam</t>
        </is>
      </c>
      <c r="D299" s="31" t="inlineStr">
        <is>
          <t>Ramadan</t>
        </is>
      </c>
      <c r="E299" s="31" t="n">
        <v>2022</v>
      </c>
      <c r="F299" s="28">
        <f>IF(E299="","",IF(E299&lt;1970,"Abyad w eswed",IF(E299&lt;2000,"70s-90s",IF(E299&lt;2015,"2000s","Gedeed"))))</f>
        <v/>
      </c>
      <c r="G299" s="31" t="inlineStr">
        <is>
          <t>Sa3b</t>
        </is>
      </c>
      <c r="H299" s="30" t="inlineStr">
        <is>
          <t>Drama</t>
        </is>
      </c>
      <c r="I299" s="32" t="inlineStr">
        <is>
          <t>أحمد أمين</t>
        </is>
      </c>
      <c r="J299" s="32" t="n"/>
      <c r="K299" s="32" t="n"/>
      <c r="L299" s="33">
        <f>IF(B299="","",IF(LEFT(TRIM(B299),2)="ال",MID(TRIM(B299),3,1),LEFT(TRIM(B299),1)))</f>
        <v/>
      </c>
      <c r="M299" s="28">
        <f>IF(B299="","",LEN(TRIM(B299))-LEN(SUBSTITUTE(TRIM(B299)," ",""))+1)</f>
        <v/>
      </c>
      <c r="N299" s="31" t="inlineStr">
        <is>
          <t>Rage3ha</t>
        </is>
      </c>
    </row>
    <row r="300" ht="15" customHeight="1" s="21">
      <c r="A300" s="28" t="n">
        <v>299</v>
      </c>
      <c r="B300" s="29" t="inlineStr">
        <is>
          <t>جعفر العمدة</t>
        </is>
      </c>
      <c r="C300" s="30" t="inlineStr">
        <is>
          <t>Ga3far El 3omda</t>
        </is>
      </c>
      <c r="D300" s="31" t="inlineStr">
        <is>
          <t>Ramadan</t>
        </is>
      </c>
      <c r="E300" s="31" t="n">
        <v>2023</v>
      </c>
      <c r="F300" s="28">
        <f>IF(E300="","",IF(E300&lt;1970,"Abyad w eswed",IF(E300&lt;2000,"70s-90s",IF(E300&lt;2015,"2000s","Gedeed"))))</f>
        <v/>
      </c>
      <c r="G300" s="31" t="inlineStr">
        <is>
          <t>Sahl</t>
        </is>
      </c>
      <c r="H300" s="30" t="inlineStr">
        <is>
          <t>Drama</t>
        </is>
      </c>
      <c r="I300" s="32" t="inlineStr">
        <is>
          <t>محمد رمضان</t>
        </is>
      </c>
      <c r="J300" s="32" t="inlineStr">
        <is>
          <t>جعفر العمدة</t>
        </is>
      </c>
      <c r="K300" s="32" t="n"/>
      <c r="L300" s="33">
        <f>IF(B300="","",IF(LEFT(TRIM(B300),2)="ال",MID(TRIM(B300),3,1),LEFT(TRIM(B300),1)))</f>
        <v/>
      </c>
      <c r="M300" s="28">
        <f>IF(B300="","",LEN(TRIM(B300))-LEN(SUBSTITUTE(TRIM(B300)," ",""))+1)</f>
        <v/>
      </c>
      <c r="N300" s="31" t="inlineStr">
        <is>
          <t>Draft</t>
        </is>
      </c>
    </row>
    <row r="301" ht="15" customHeight="1" s="21">
      <c r="A301" s="28" t="n">
        <v>300</v>
      </c>
      <c r="B301" s="29" t="inlineStr">
        <is>
          <t>رسالة الإمام</t>
        </is>
      </c>
      <c r="C301" s="30" t="inlineStr">
        <is>
          <t>Resalet El Emam</t>
        </is>
      </c>
      <c r="D301" s="31" t="inlineStr">
        <is>
          <t>Ramadan</t>
        </is>
      </c>
      <c r="E301" s="31" t="n">
        <v>2023</v>
      </c>
      <c r="F301" s="28">
        <f>IF(E301="","",IF(E301&lt;1970,"Abyad w eswed",IF(E301&lt;2000,"70s-90s",IF(E301&lt;2015,"2000s","Gedeed"))))</f>
        <v/>
      </c>
      <c r="G301" s="31" t="inlineStr">
        <is>
          <t>Sa3b</t>
        </is>
      </c>
      <c r="H301" s="30" t="inlineStr">
        <is>
          <t>Ta2reekhy</t>
        </is>
      </c>
      <c r="I301" s="32" t="inlineStr">
        <is>
          <t>خالد النبوي</t>
        </is>
      </c>
      <c r="J301" s="32" t="inlineStr">
        <is>
          <t>الإمام الشافعي</t>
        </is>
      </c>
      <c r="K301" s="32" t="n"/>
      <c r="L301" s="33">
        <f>IF(B301="","",IF(LEFT(TRIM(B301),2)="ال",MID(TRIM(B301),3,1),LEFT(TRIM(B301),1)))</f>
        <v/>
      </c>
      <c r="M301" s="28">
        <f>IF(B301="","",LEN(TRIM(B301))-LEN(SUBSTITUTE(TRIM(B301)," ",""))+1)</f>
        <v/>
      </c>
      <c r="N301" s="31" t="inlineStr">
        <is>
          <t>Draft</t>
        </is>
      </c>
    </row>
    <row r="302" ht="15" customHeight="1" s="21">
      <c r="A302" s="28" t="n">
        <v>301</v>
      </c>
      <c r="B302" s="29" t="inlineStr">
        <is>
          <t>سره الباتع</t>
        </is>
      </c>
      <c r="C302" s="30" t="inlineStr">
        <is>
          <t>Serroh El Bate3</t>
        </is>
      </c>
      <c r="D302" s="31" t="inlineStr">
        <is>
          <t>Ramadan</t>
        </is>
      </c>
      <c r="E302" s="31" t="n">
        <v>2023</v>
      </c>
      <c r="F302" s="28">
        <f>IF(E302="","",IF(E302&lt;1970,"Abyad w eswed",IF(E302&lt;2000,"70s-90s",IF(E302&lt;2015,"2000s","Gedeed"))))</f>
        <v/>
      </c>
      <c r="G302" s="31" t="inlineStr">
        <is>
          <t>Sa3b</t>
        </is>
      </c>
      <c r="H302" s="30" t="inlineStr">
        <is>
          <t>Drama</t>
        </is>
      </c>
      <c r="I302" s="32" t="inlineStr">
        <is>
          <t>أحمد السعدني</t>
        </is>
      </c>
      <c r="J302" s="32" t="n"/>
      <c r="K302" s="32" t="n"/>
      <c r="L302" s="33">
        <f>IF(B302="","",IF(LEFT(TRIM(B302),2)="ال",MID(TRIM(B302),3,1),LEFT(TRIM(B302),1)))</f>
        <v/>
      </c>
      <c r="M302" s="28">
        <f>IF(B302="","",LEN(TRIM(B302))-LEN(SUBSTITUTE(TRIM(B302)," ",""))+1)</f>
        <v/>
      </c>
      <c r="N302" s="31" t="inlineStr">
        <is>
          <t>Rage3ha</t>
        </is>
      </c>
    </row>
    <row r="303" ht="15" customHeight="1" s="21">
      <c r="A303" s="28" t="n">
        <v>302</v>
      </c>
      <c r="B303" s="29" t="inlineStr">
        <is>
          <t>ضرب نار</t>
        </is>
      </c>
      <c r="C303" s="30" t="inlineStr">
        <is>
          <t>Darb Nar</t>
        </is>
      </c>
      <c r="D303" s="31" t="inlineStr">
        <is>
          <t>Ramadan</t>
        </is>
      </c>
      <c r="E303" s="31" t="n">
        <v>2023</v>
      </c>
      <c r="F303" s="28">
        <f>IF(E303="","",IF(E303&lt;1970,"Abyad w eswed",IF(E303&lt;2000,"70s-90s",IF(E303&lt;2015,"2000s","Gedeed"))))</f>
        <v/>
      </c>
      <c r="G303" s="31" t="inlineStr">
        <is>
          <t>Wasat</t>
        </is>
      </c>
      <c r="H303" s="30" t="inlineStr">
        <is>
          <t>Action</t>
        </is>
      </c>
      <c r="I303" s="32" t="inlineStr">
        <is>
          <t>أحمد العوضي</t>
        </is>
      </c>
      <c r="J303" s="32" t="n"/>
      <c r="K303" s="32" t="n"/>
      <c r="L303" s="33">
        <f>IF(B303="","",IF(LEFT(TRIM(B303),2)="ال",MID(TRIM(B303),3,1),LEFT(TRIM(B303),1)))</f>
        <v/>
      </c>
      <c r="M303" s="28">
        <f>IF(B303="","",LEN(TRIM(B303))-LEN(SUBSTITUTE(TRIM(B303)," ",""))+1)</f>
        <v/>
      </c>
      <c r="N303" s="31" t="inlineStr">
        <is>
          <t>Rage3ha</t>
        </is>
      </c>
    </row>
    <row r="304" ht="15" customHeight="1" s="21">
      <c r="A304" s="28" t="n">
        <v>303</v>
      </c>
      <c r="B304" s="29" t="inlineStr">
        <is>
          <t>أعلى نسبة مشاهدة</t>
        </is>
      </c>
      <c r="C304" s="30" t="inlineStr">
        <is>
          <t>A3la Nesbet Moshahda</t>
        </is>
      </c>
      <c r="D304" s="31" t="inlineStr">
        <is>
          <t>Ramadan</t>
        </is>
      </c>
      <c r="E304" s="31" t="n">
        <v>2024</v>
      </c>
      <c r="F304" s="28">
        <f>IF(E304="","",IF(E304&lt;1970,"Abyad w eswed",IF(E304&lt;2000,"70s-90s",IF(E304&lt;2015,"2000s","Gedeed"))))</f>
        <v/>
      </c>
      <c r="G304" s="31" t="inlineStr">
        <is>
          <t>Wasat</t>
        </is>
      </c>
      <c r="H304" s="30" t="inlineStr">
        <is>
          <t>Drama</t>
        </is>
      </c>
      <c r="I304" s="32" t="inlineStr">
        <is>
          <t>سلمى أبو ضيف</t>
        </is>
      </c>
      <c r="J304" s="32" t="n"/>
      <c r="K304" s="32" t="n"/>
      <c r="L304" s="33">
        <f>IF(B304="","",IF(LEFT(TRIM(B304),2)="ال",MID(TRIM(B304),3,1),LEFT(TRIM(B304),1)))</f>
        <v/>
      </c>
      <c r="M304" s="28">
        <f>IF(B304="","",LEN(TRIM(B304))-LEN(SUBSTITUTE(TRIM(B304)," ",""))+1)</f>
        <v/>
      </c>
      <c r="N304" s="31" t="inlineStr">
        <is>
          <t>Rage3ha</t>
        </is>
      </c>
    </row>
    <row r="305" ht="15" customHeight="1" s="21">
      <c r="A305" s="28" t="n">
        <v>304</v>
      </c>
      <c r="B305" s="29" t="inlineStr">
        <is>
          <t>الحشاشين</t>
        </is>
      </c>
      <c r="C305" s="30" t="inlineStr">
        <is>
          <t>El 7ashasheen</t>
        </is>
      </c>
      <c r="D305" s="31" t="inlineStr">
        <is>
          <t>Ramadan</t>
        </is>
      </c>
      <c r="E305" s="31" t="n">
        <v>2024</v>
      </c>
      <c r="F305" s="28">
        <f>IF(E305="","",IF(E305&lt;1970,"Abyad w eswed",IF(E305&lt;2000,"70s-90s",IF(E305&lt;2015,"2000s","Gedeed"))))</f>
        <v/>
      </c>
      <c r="G305" s="31" t="inlineStr">
        <is>
          <t>Wasat</t>
        </is>
      </c>
      <c r="H305" s="30" t="inlineStr">
        <is>
          <t>Ta2reekhy</t>
        </is>
      </c>
      <c r="I305" s="32" t="inlineStr">
        <is>
          <t>كريم عبد العزيز</t>
        </is>
      </c>
      <c r="J305" s="32" t="inlineStr">
        <is>
          <t>حسن الصباح</t>
        </is>
      </c>
      <c r="K305" s="32" t="n"/>
      <c r="L305" s="33">
        <f>IF(B305="","",IF(LEFT(TRIM(B305),2)="ال",MID(TRIM(B305),3,1),LEFT(TRIM(B305),1)))</f>
        <v/>
      </c>
      <c r="M305" s="28">
        <f>IF(B305="","",LEN(TRIM(B305))-LEN(SUBSTITUTE(TRIM(B305)," ",""))+1)</f>
        <v/>
      </c>
      <c r="N305" s="31" t="inlineStr">
        <is>
          <t>Draft</t>
        </is>
      </c>
    </row>
    <row r="306" ht="15" customHeight="1" s="21">
      <c r="A306" s="28" t="n">
        <v>305</v>
      </c>
      <c r="B306" s="29" t="inlineStr">
        <is>
          <t>العتاولة</t>
        </is>
      </c>
      <c r="C306" s="30" t="inlineStr">
        <is>
          <t>El 3atawla</t>
        </is>
      </c>
      <c r="D306" s="31" t="inlineStr">
        <is>
          <t>Ramadan</t>
        </is>
      </c>
      <c r="E306" s="31" t="n">
        <v>2024</v>
      </c>
      <c r="F306" s="28">
        <f>IF(E306="","",IF(E306&lt;1970,"Abyad w eswed",IF(E306&lt;2000,"70s-90s",IF(E306&lt;2015,"2000s","Gedeed"))))</f>
        <v/>
      </c>
      <c r="G306" s="31" t="inlineStr">
        <is>
          <t>Wasat</t>
        </is>
      </c>
      <c r="H306" s="30" t="inlineStr">
        <is>
          <t>Action</t>
        </is>
      </c>
      <c r="I306" s="32" t="inlineStr">
        <is>
          <t>أحمد السقا</t>
        </is>
      </c>
      <c r="J306" s="32" t="n"/>
      <c r="K306" s="32" t="n"/>
      <c r="L306" s="33">
        <f>IF(B306="","",IF(LEFT(TRIM(B306),2)="ال",MID(TRIM(B306),3,1),LEFT(TRIM(B306),1)))</f>
        <v/>
      </c>
      <c r="M306" s="28">
        <f>IF(B306="","",LEN(TRIM(B306))-LEN(SUBSTITUTE(TRIM(B306)," ",""))+1)</f>
        <v/>
      </c>
      <c r="N306" s="31" t="inlineStr">
        <is>
          <t>Rage3ha</t>
        </is>
      </c>
    </row>
    <row r="307" ht="15" customHeight="1" s="21">
      <c r="A307" s="28" t="n">
        <v>306</v>
      </c>
      <c r="B307" s="29" t="inlineStr">
        <is>
          <t>نعمة الأفوكاتو</t>
        </is>
      </c>
      <c r="C307" s="30" t="inlineStr">
        <is>
          <t>Ne3ma El Avocato</t>
        </is>
      </c>
      <c r="D307" s="31" t="inlineStr">
        <is>
          <t>Ramadan</t>
        </is>
      </c>
      <c r="E307" s="31" t="n">
        <v>2024</v>
      </c>
      <c r="F307" s="28">
        <f>IF(E307="","",IF(E307&lt;1970,"Abyad w eswed",IF(E307&lt;2000,"70s-90s",IF(E307&lt;2015,"2000s","Gedeed"))))</f>
        <v/>
      </c>
      <c r="G307" s="31" t="inlineStr">
        <is>
          <t>Wasat</t>
        </is>
      </c>
      <c r="H307" s="30" t="inlineStr">
        <is>
          <t>Drama</t>
        </is>
      </c>
      <c r="I307" s="32" t="inlineStr">
        <is>
          <t>مي عمر</t>
        </is>
      </c>
      <c r="J307" s="32" t="inlineStr">
        <is>
          <t>نعمة</t>
        </is>
      </c>
      <c r="K307" s="32" t="n"/>
      <c r="L307" s="33">
        <f>IF(B307="","",IF(LEFT(TRIM(B307),2)="ال",MID(TRIM(B307),3,1),LEFT(TRIM(B307),1)))</f>
        <v/>
      </c>
      <c r="M307" s="28">
        <f>IF(B307="","",LEN(TRIM(B307))-LEN(SUBSTITUTE(TRIM(B307)," ",""))+1)</f>
        <v/>
      </c>
      <c r="N307" s="31" t="inlineStr">
        <is>
          <t>Draft</t>
        </is>
      </c>
    </row>
    <row r="308" ht="15" customHeight="1" s="21">
      <c r="A308" s="28" t="n">
        <v>307</v>
      </c>
      <c r="B308" s="29" t="inlineStr">
        <is>
          <t>يوميات ونيس</t>
        </is>
      </c>
      <c r="C308" s="30" t="inlineStr">
        <is>
          <t>Yawmeyat Wannees</t>
        </is>
      </c>
      <c r="D308" s="31" t="inlineStr">
        <is>
          <t>Sitcom</t>
        </is>
      </c>
      <c r="E308" s="31" t="n">
        <v>1994</v>
      </c>
      <c r="F308" s="28">
        <f>IF(E308="","",IF(E308&lt;1970,"Abyad w eswed",IF(E308&lt;2000,"70s-90s",IF(E308&lt;2015,"2000s","Gedeed"))))</f>
        <v/>
      </c>
      <c r="G308" s="31" t="inlineStr">
        <is>
          <t>Sahl</t>
        </is>
      </c>
      <c r="H308" s="30" t="inlineStr">
        <is>
          <t>Comedy</t>
        </is>
      </c>
      <c r="I308" s="32" t="inlineStr">
        <is>
          <t>محمد صبحي</t>
        </is>
      </c>
      <c r="J308" s="32" t="inlineStr">
        <is>
          <t>ونيس</t>
        </is>
      </c>
      <c r="K308" s="32" t="n"/>
      <c r="L308" s="33">
        <f>IF(B308="","",IF(LEFT(TRIM(B308),2)="ال",MID(TRIM(B308),3,1),LEFT(TRIM(B308),1)))</f>
        <v/>
      </c>
      <c r="M308" s="28">
        <f>IF(B308="","",LEN(TRIM(B308))-LEN(SUBSTITUTE(TRIM(B308)," ",""))+1)</f>
        <v/>
      </c>
      <c r="N308" s="31" t="inlineStr">
        <is>
          <t>Draft</t>
        </is>
      </c>
    </row>
    <row r="309" ht="15" customHeight="1" s="21">
      <c r="A309" s="28" t="n">
        <v>308</v>
      </c>
      <c r="B309" s="29" t="inlineStr">
        <is>
          <t>تامر وشوقية</t>
        </is>
      </c>
      <c r="C309" s="30" t="inlineStr">
        <is>
          <t>Tamer w Shawqeya</t>
        </is>
      </c>
      <c r="D309" s="31" t="inlineStr">
        <is>
          <t>Sitcom</t>
        </is>
      </c>
      <c r="E309" s="31" t="n">
        <v>2006</v>
      </c>
      <c r="F309" s="28">
        <f>IF(E309="","",IF(E309&lt;1970,"Abyad w eswed",IF(E309&lt;2000,"70s-90s",IF(E309&lt;2015,"2000s","Gedeed"))))</f>
        <v/>
      </c>
      <c r="G309" s="31" t="inlineStr">
        <is>
          <t>Sahl</t>
        </is>
      </c>
      <c r="H309" s="30" t="inlineStr">
        <is>
          <t>Comedy</t>
        </is>
      </c>
      <c r="I309" s="32" t="inlineStr">
        <is>
          <t>أحمد الفيشاوي</t>
        </is>
      </c>
      <c r="J309" s="32" t="inlineStr">
        <is>
          <t>تامر</t>
        </is>
      </c>
      <c r="K309" s="32" t="n"/>
      <c r="L309" s="33">
        <f>IF(B309="","",IF(LEFT(TRIM(B309),2)="ال",MID(TRIM(B309),3,1),LEFT(TRIM(B309),1)))</f>
        <v/>
      </c>
      <c r="M309" s="28">
        <f>IF(B309="","",LEN(TRIM(B309))-LEN(SUBSTITUTE(TRIM(B309)," ",""))+1)</f>
        <v/>
      </c>
      <c r="N309" s="31" t="inlineStr">
        <is>
          <t>Draft</t>
        </is>
      </c>
    </row>
    <row r="310" ht="15" customHeight="1" s="21">
      <c r="A310" s="28" t="n">
        <v>309</v>
      </c>
      <c r="B310" s="29" t="inlineStr">
        <is>
          <t>راجل وست ستات</t>
        </is>
      </c>
      <c r="C310" s="30" t="inlineStr">
        <is>
          <t>Ragel w Set Settat</t>
        </is>
      </c>
      <c r="D310" s="31" t="inlineStr">
        <is>
          <t>Sitcom</t>
        </is>
      </c>
      <c r="E310" s="31" t="n">
        <v>2006</v>
      </c>
      <c r="F310" s="28">
        <f>IF(E310="","",IF(E310&lt;1970,"Abyad w eswed",IF(E310&lt;2000,"70s-90s",IF(E310&lt;2015,"2000s","Gedeed"))))</f>
        <v/>
      </c>
      <c r="G310" s="31" t="inlineStr">
        <is>
          <t>Sahl</t>
        </is>
      </c>
      <c r="H310" s="30" t="inlineStr">
        <is>
          <t>Comedy</t>
        </is>
      </c>
      <c r="I310" s="32" t="inlineStr">
        <is>
          <t>أشرف عبد الباقي</t>
        </is>
      </c>
      <c r="J310" s="32" t="inlineStr">
        <is>
          <t>عادل</t>
        </is>
      </c>
      <c r="K310" s="32" t="n"/>
      <c r="L310" s="33">
        <f>IF(B310="","",IF(LEFT(TRIM(B310),2)="ال",MID(TRIM(B310),3,1),LEFT(TRIM(B310),1)))</f>
        <v/>
      </c>
      <c r="M310" s="28">
        <f>IF(B310="","",LEN(TRIM(B310))-LEN(SUBSTITUTE(TRIM(B310)," ",""))+1)</f>
        <v/>
      </c>
      <c r="N310" s="31" t="inlineStr">
        <is>
          <t>Draft</t>
        </is>
      </c>
    </row>
    <row r="311" ht="15" customHeight="1" s="21">
      <c r="A311" s="28" t="n">
        <v>310</v>
      </c>
      <c r="B311" s="29" t="inlineStr">
        <is>
          <t>أنا وهو وهي</t>
        </is>
      </c>
      <c r="C311" s="30" t="inlineStr">
        <is>
          <t>Ana w Howa w Heya</t>
        </is>
      </c>
      <c r="D311" s="31" t="inlineStr">
        <is>
          <t>Masra7eya</t>
        </is>
      </c>
      <c r="E311" s="31" t="n">
        <v>1963</v>
      </c>
      <c r="F311" s="28">
        <f>IF(E311="","",IF(E311&lt;1970,"Abyad w eswed",IF(E311&lt;2000,"70s-90s",IF(E311&lt;2015,"2000s","Gedeed"))))</f>
        <v/>
      </c>
      <c r="G311" s="31" t="inlineStr">
        <is>
          <t>Wasat</t>
        </is>
      </c>
      <c r="H311" s="30" t="inlineStr">
        <is>
          <t>Comedy</t>
        </is>
      </c>
      <c r="I311" s="32" t="inlineStr">
        <is>
          <t>فؤاد المهندس</t>
        </is>
      </c>
      <c r="J311" s="32" t="n"/>
      <c r="K311" s="32" t="n"/>
      <c r="L311" s="33">
        <f>IF(B311="","",IF(LEFT(TRIM(B311),2)="ال",MID(TRIM(B311),3,1),LEFT(TRIM(B311),1)))</f>
        <v/>
      </c>
      <c r="M311" s="28">
        <f>IF(B311="","",LEN(TRIM(B311))-LEN(SUBSTITUTE(TRIM(B311)," ",""))+1)</f>
        <v/>
      </c>
      <c r="N311" s="31" t="inlineStr">
        <is>
          <t>Draft</t>
        </is>
      </c>
    </row>
    <row r="312" ht="15" customHeight="1" s="21">
      <c r="A312" s="28" t="n">
        <v>311</v>
      </c>
      <c r="B312" s="29" t="inlineStr">
        <is>
          <t>سيدتي الجميلة</t>
        </is>
      </c>
      <c r="C312" s="30" t="inlineStr">
        <is>
          <t>Sayedaty El Gameela</t>
        </is>
      </c>
      <c r="D312" s="31" t="inlineStr">
        <is>
          <t>Masra7eya</t>
        </is>
      </c>
      <c r="E312" s="31" t="n">
        <v>1969</v>
      </c>
      <c r="F312" s="28">
        <f>IF(E312="","",IF(E312&lt;1970,"Abyad w eswed",IF(E312&lt;2000,"70s-90s",IF(E312&lt;2015,"2000s","Gedeed"))))</f>
        <v/>
      </c>
      <c r="G312" s="31" t="inlineStr">
        <is>
          <t>Wasat</t>
        </is>
      </c>
      <c r="H312" s="30" t="inlineStr">
        <is>
          <t>Comedy</t>
        </is>
      </c>
      <c r="I312" s="32" t="inlineStr">
        <is>
          <t>فؤاد المهندس</t>
        </is>
      </c>
      <c r="J312" s="32" t="n"/>
      <c r="K312" s="32" t="n"/>
      <c r="L312" s="33">
        <f>IF(B312="","",IF(LEFT(TRIM(B312),2)="ال",MID(TRIM(B312),3,1),LEFT(TRIM(B312),1)))</f>
        <v/>
      </c>
      <c r="M312" s="28">
        <f>IF(B312="","",LEN(TRIM(B312))-LEN(SUBSTITUTE(TRIM(B312)," ",""))+1)</f>
        <v/>
      </c>
      <c r="N312" s="31" t="inlineStr">
        <is>
          <t>Draft</t>
        </is>
      </c>
    </row>
    <row r="313" ht="15" customHeight="1" s="21">
      <c r="A313" s="28" t="n">
        <v>312</v>
      </c>
      <c r="B313" s="29" t="inlineStr">
        <is>
          <t>مدرسة المشاغبين</t>
        </is>
      </c>
      <c r="C313" s="30" t="inlineStr">
        <is>
          <t>Madraset El Moshaghbeen</t>
        </is>
      </c>
      <c r="D313" s="31" t="inlineStr">
        <is>
          <t>Masra7eya</t>
        </is>
      </c>
      <c r="E313" s="31" t="n">
        <v>1973</v>
      </c>
      <c r="F313" s="28">
        <f>IF(E313="","",IF(E313&lt;1970,"Abyad w eswed",IF(E313&lt;2000,"70s-90s",IF(E313&lt;2015,"2000s","Gedeed"))))</f>
        <v/>
      </c>
      <c r="G313" s="31" t="inlineStr">
        <is>
          <t>Sahl</t>
        </is>
      </c>
      <c r="H313" s="30" t="inlineStr">
        <is>
          <t>Comedy</t>
        </is>
      </c>
      <c r="I313" s="32" t="inlineStr">
        <is>
          <t>عادل إمام</t>
        </is>
      </c>
      <c r="J313" s="32" t="inlineStr">
        <is>
          <t>بهجت الأباصيري</t>
        </is>
      </c>
      <c r="K313" s="32" t="inlineStr">
        <is>
          <t>مرسي الزناتي اتهزم يا رجالة</t>
        </is>
      </c>
      <c r="L313" s="33">
        <f>IF(B313="","",IF(LEFT(TRIM(B313),2)="ال",MID(TRIM(B313),3,1),LEFT(TRIM(B313),1)))</f>
        <v/>
      </c>
      <c r="M313" s="28">
        <f>IF(B313="","",LEN(TRIM(B313))-LEN(SUBSTITUTE(TRIM(B313)," ",""))+1)</f>
        <v/>
      </c>
      <c r="N313" s="31" t="inlineStr">
        <is>
          <t>Draft</t>
        </is>
      </c>
    </row>
    <row r="314" ht="15" customHeight="1" s="21">
      <c r="A314" s="28" t="n">
        <v>313</v>
      </c>
      <c r="B314" s="29" t="inlineStr">
        <is>
          <t>انتهى الدرس يا غبي</t>
        </is>
      </c>
      <c r="C314" s="30" t="inlineStr">
        <is>
          <t>Entaha El Dars Ya Ghaby</t>
        </is>
      </c>
      <c r="D314" s="31" t="inlineStr">
        <is>
          <t>Masra7eya</t>
        </is>
      </c>
      <c r="E314" s="31" t="n">
        <v>1975</v>
      </c>
      <c r="F314" s="28">
        <f>IF(E314="","",IF(E314&lt;1970,"Abyad w eswed",IF(E314&lt;2000,"70s-90s",IF(E314&lt;2015,"2000s","Gedeed"))))</f>
        <v/>
      </c>
      <c r="G314" s="31" t="inlineStr">
        <is>
          <t>Wasat</t>
        </is>
      </c>
      <c r="H314" s="30" t="inlineStr">
        <is>
          <t>Comedy</t>
        </is>
      </c>
      <c r="I314" s="32" t="inlineStr">
        <is>
          <t>محمد صبحي</t>
        </is>
      </c>
      <c r="J314" s="32" t="n"/>
      <c r="K314" s="32" t="n"/>
      <c r="L314" s="33">
        <f>IF(B314="","",IF(LEFT(TRIM(B314),2)="ال",MID(TRIM(B314),3,1),LEFT(TRIM(B314),1)))</f>
        <v/>
      </c>
      <c r="M314" s="28">
        <f>IF(B314="","",LEN(TRIM(B314))-LEN(SUBSTITUTE(TRIM(B314)," ",""))+1)</f>
        <v/>
      </c>
      <c r="N314" s="31" t="inlineStr">
        <is>
          <t>Rage3ha</t>
        </is>
      </c>
    </row>
    <row r="315" ht="15" customHeight="1" s="21">
      <c r="A315" s="28" t="n">
        <v>314</v>
      </c>
      <c r="B315" s="29" t="inlineStr">
        <is>
          <t>شاهد ما شافش حاجة</t>
        </is>
      </c>
      <c r="C315" s="30" t="inlineStr">
        <is>
          <t>Shahed Mashafsh 7aga</t>
        </is>
      </c>
      <c r="D315" s="31" t="inlineStr">
        <is>
          <t>Masra7eya</t>
        </is>
      </c>
      <c r="E315" s="31" t="n">
        <v>1976</v>
      </c>
      <c r="F315" s="28">
        <f>IF(E315="","",IF(E315&lt;1970,"Abyad w eswed",IF(E315&lt;2000,"70s-90s",IF(E315&lt;2015,"2000s","Gedeed"))))</f>
        <v/>
      </c>
      <c r="G315" s="31" t="inlineStr">
        <is>
          <t>Sahl</t>
        </is>
      </c>
      <c r="H315" s="30" t="inlineStr">
        <is>
          <t>Comedy</t>
        </is>
      </c>
      <c r="I315" s="32" t="inlineStr">
        <is>
          <t>عادل إمام</t>
        </is>
      </c>
      <c r="J315" s="32" t="inlineStr">
        <is>
          <t>سرحان عبد البصير</t>
        </is>
      </c>
      <c r="K315" s="32" t="n"/>
      <c r="L315" s="33">
        <f>IF(B315="","",IF(LEFT(TRIM(B315),2)="ال",MID(TRIM(B315),3,1),LEFT(TRIM(B315),1)))</f>
        <v/>
      </c>
      <c r="M315" s="28">
        <f>IF(B315="","",LEN(TRIM(B315))-LEN(SUBSTITUTE(TRIM(B315)," ",""))+1)</f>
        <v/>
      </c>
      <c r="N315" s="31" t="inlineStr">
        <is>
          <t>Draft</t>
        </is>
      </c>
    </row>
    <row r="316" ht="15" customHeight="1" s="21">
      <c r="A316" s="28" t="n">
        <v>315</v>
      </c>
      <c r="B316" s="29" t="inlineStr">
        <is>
          <t>المتزوجون</t>
        </is>
      </c>
      <c r="C316" s="30" t="inlineStr">
        <is>
          <t>El Motazawegoun</t>
        </is>
      </c>
      <c r="D316" s="31" t="inlineStr">
        <is>
          <t>Masra7eya</t>
        </is>
      </c>
      <c r="E316" s="31" t="n">
        <v>1978</v>
      </c>
      <c r="F316" s="28">
        <f>IF(E316="","",IF(E316&lt;1970,"Abyad w eswed",IF(E316&lt;2000,"70s-90s",IF(E316&lt;2015,"2000s","Gedeed"))))</f>
        <v/>
      </c>
      <c r="G316" s="31" t="inlineStr">
        <is>
          <t>Wasat</t>
        </is>
      </c>
      <c r="H316" s="30" t="inlineStr">
        <is>
          <t>Comedy</t>
        </is>
      </c>
      <c r="I316" s="32" t="inlineStr">
        <is>
          <t>سمير غانم</t>
        </is>
      </c>
      <c r="J316" s="32" t="n"/>
      <c r="K316" s="32" t="n"/>
      <c r="L316" s="33">
        <f>IF(B316="","",IF(LEFT(TRIM(B316),2)="ال",MID(TRIM(B316),3,1),LEFT(TRIM(B316),1)))</f>
        <v/>
      </c>
      <c r="M316" s="28">
        <f>IF(B316="","",LEN(TRIM(B316))-LEN(SUBSTITUTE(TRIM(B316)," ",""))+1)</f>
        <v/>
      </c>
      <c r="N316" s="31" t="inlineStr">
        <is>
          <t>Rage3ha</t>
        </is>
      </c>
    </row>
    <row r="317" ht="15" customHeight="1" s="21">
      <c r="A317" s="28" t="n">
        <v>316</v>
      </c>
      <c r="B317" s="29" t="inlineStr">
        <is>
          <t>إنها حقاً عائلة محترمة</t>
        </is>
      </c>
      <c r="C317" s="30" t="inlineStr">
        <is>
          <t>Enaha 7a2an 3a2ela Mo7tarama</t>
        </is>
      </c>
      <c r="D317" s="31" t="inlineStr">
        <is>
          <t>Masra7eya</t>
        </is>
      </c>
      <c r="E317" s="31" t="n">
        <v>1979</v>
      </c>
      <c r="F317" s="28">
        <f>IF(E317="","",IF(E317&lt;1970,"Abyad w eswed",IF(E317&lt;2000,"70s-90s",IF(E317&lt;2015,"2000s","Gedeed"))))</f>
        <v/>
      </c>
      <c r="G317" s="31" t="inlineStr">
        <is>
          <t>Sa3b</t>
        </is>
      </c>
      <c r="H317" s="30" t="inlineStr">
        <is>
          <t>Comedy</t>
        </is>
      </c>
      <c r="I317" s="32" t="inlineStr">
        <is>
          <t>فؤاد المهندس</t>
        </is>
      </c>
      <c r="J317" s="32" t="n"/>
      <c r="K317" s="32" t="n"/>
      <c r="L317" s="33">
        <f>IF(B317="","",IF(LEFT(TRIM(B317),2)="ال",MID(TRIM(B317),3,1),LEFT(TRIM(B317),1)))</f>
        <v/>
      </c>
      <c r="M317" s="28">
        <f>IF(B317="","",LEN(TRIM(B317))-LEN(SUBSTITUTE(TRIM(B317)," ",""))+1)</f>
        <v/>
      </c>
      <c r="N317" s="31" t="inlineStr">
        <is>
          <t>Draft</t>
        </is>
      </c>
    </row>
    <row r="318" ht="15" customHeight="1" s="21">
      <c r="A318" s="28" t="n">
        <v>317</v>
      </c>
      <c r="B318" s="29" t="inlineStr">
        <is>
          <t>العيال كبرت</t>
        </is>
      </c>
      <c r="C318" s="30" t="inlineStr">
        <is>
          <t>El 3eyal Kebret</t>
        </is>
      </c>
      <c r="D318" s="31" t="inlineStr">
        <is>
          <t>Masra7eya</t>
        </is>
      </c>
      <c r="E318" s="31" t="n">
        <v>1979</v>
      </c>
      <c r="F318" s="28">
        <f>IF(E318="","",IF(E318&lt;1970,"Abyad w eswed",IF(E318&lt;2000,"70s-90s",IF(E318&lt;2015,"2000s","Gedeed"))))</f>
        <v/>
      </c>
      <c r="G318" s="31" t="inlineStr">
        <is>
          <t>Sahl</t>
        </is>
      </c>
      <c r="H318" s="30" t="inlineStr">
        <is>
          <t>Comedy</t>
        </is>
      </c>
      <c r="I318" s="32" t="inlineStr">
        <is>
          <t>سعيد صالح</t>
        </is>
      </c>
      <c r="J318" s="32" t="inlineStr">
        <is>
          <t>سلطان</t>
        </is>
      </c>
      <c r="K318" s="32" t="n"/>
      <c r="L318" s="33">
        <f>IF(B318="","",IF(LEFT(TRIM(B318),2)="ال",MID(TRIM(B318),3,1),LEFT(TRIM(B318),1)))</f>
        <v/>
      </c>
      <c r="M318" s="28">
        <f>IF(B318="","",LEN(TRIM(B318))-LEN(SUBSTITUTE(TRIM(B318)," ",""))+1)</f>
        <v/>
      </c>
      <c r="N318" s="31" t="inlineStr">
        <is>
          <t>Draft</t>
        </is>
      </c>
    </row>
    <row r="319" ht="15" customHeight="1" s="21">
      <c r="A319" s="28" t="n">
        <v>318</v>
      </c>
      <c r="B319" s="29" t="inlineStr">
        <is>
          <t>سك على بناتك</t>
        </is>
      </c>
      <c r="C319" s="30" t="inlineStr">
        <is>
          <t>Sok 3ala Banatak</t>
        </is>
      </c>
      <c r="D319" s="31" t="inlineStr">
        <is>
          <t>Masra7eya</t>
        </is>
      </c>
      <c r="E319" s="31" t="n">
        <v>1980</v>
      </c>
      <c r="F319" s="28">
        <f>IF(E319="","",IF(E319&lt;1970,"Abyad w eswed",IF(E319&lt;2000,"70s-90s",IF(E319&lt;2015,"2000s","Gedeed"))))</f>
        <v/>
      </c>
      <c r="G319" s="31" t="inlineStr">
        <is>
          <t>Sahl</t>
        </is>
      </c>
      <c r="H319" s="30" t="inlineStr">
        <is>
          <t>Comedy</t>
        </is>
      </c>
      <c r="I319" s="32" t="inlineStr">
        <is>
          <t>فؤاد المهندس</t>
        </is>
      </c>
      <c r="J319" s="32" t="n"/>
      <c r="K319" s="32" t="n"/>
      <c r="L319" s="33">
        <f>IF(B319="","",IF(LEFT(TRIM(B319),2)="ال",MID(TRIM(B319),3,1),LEFT(TRIM(B319),1)))</f>
        <v/>
      </c>
      <c r="M319" s="28">
        <f>IF(B319="","",LEN(TRIM(B319))-LEN(SUBSTITUTE(TRIM(B319)," ",""))+1)</f>
        <v/>
      </c>
      <c r="N319" s="31" t="inlineStr">
        <is>
          <t>Rage3ha</t>
        </is>
      </c>
    </row>
    <row r="320" ht="15" customHeight="1" s="21">
      <c r="A320" s="28" t="n">
        <v>319</v>
      </c>
      <c r="B320" s="29" t="inlineStr">
        <is>
          <t>أهلاً يا دكتور</t>
        </is>
      </c>
      <c r="C320" s="30" t="inlineStr">
        <is>
          <t>Ahlan Ya Doctor</t>
        </is>
      </c>
      <c r="D320" s="31" t="inlineStr">
        <is>
          <t>Masra7eya</t>
        </is>
      </c>
      <c r="E320" s="31" t="n">
        <v>1981</v>
      </c>
      <c r="F320" s="28">
        <f>IF(E320="","",IF(E320&lt;1970,"Abyad w eswed",IF(E320&lt;2000,"70s-90s",IF(E320&lt;2015,"2000s","Gedeed"))))</f>
        <v/>
      </c>
      <c r="G320" s="31" t="inlineStr">
        <is>
          <t>Wasat</t>
        </is>
      </c>
      <c r="H320" s="30" t="inlineStr">
        <is>
          <t>Comedy</t>
        </is>
      </c>
      <c r="I320" s="32" t="inlineStr">
        <is>
          <t>سمير غانم</t>
        </is>
      </c>
      <c r="J320" s="32" t="n"/>
      <c r="K320" s="32" t="n"/>
      <c r="L320" s="33">
        <f>IF(B320="","",IF(LEFT(TRIM(B320),2)="ال",MID(TRIM(B320),3,1),LEFT(TRIM(B320),1)))</f>
        <v/>
      </c>
      <c r="M320" s="28">
        <f>IF(B320="","",LEN(TRIM(B320))-LEN(SUBSTITUTE(TRIM(B320)," ",""))+1)</f>
        <v/>
      </c>
      <c r="N320" s="31" t="inlineStr">
        <is>
          <t>Rage3ha</t>
        </is>
      </c>
    </row>
    <row r="321" ht="15" customHeight="1" s="21">
      <c r="A321" s="28" t="n">
        <v>320</v>
      </c>
      <c r="B321" s="29" t="inlineStr">
        <is>
          <t>ريا وسكينة</t>
        </is>
      </c>
      <c r="C321" s="30" t="inlineStr">
        <is>
          <t>Raya w Sakina</t>
        </is>
      </c>
      <c r="D321" s="31" t="inlineStr">
        <is>
          <t>Masra7eya</t>
        </is>
      </c>
      <c r="E321" s="31" t="n">
        <v>1983</v>
      </c>
      <c r="F321" s="28">
        <f>IF(E321="","",IF(E321&lt;1970,"Abyad w eswed",IF(E321&lt;2000,"70s-90s",IF(E321&lt;2015,"2000s","Gedeed"))))</f>
        <v/>
      </c>
      <c r="G321" s="31" t="inlineStr">
        <is>
          <t>Sahl</t>
        </is>
      </c>
      <c r="H321" s="30" t="inlineStr">
        <is>
          <t>Comedy</t>
        </is>
      </c>
      <c r="I321" s="32" t="inlineStr">
        <is>
          <t>شادية</t>
        </is>
      </c>
      <c r="J321" s="32" t="inlineStr">
        <is>
          <t>ريا</t>
        </is>
      </c>
      <c r="K321" s="32" t="n"/>
      <c r="L321" s="33">
        <f>IF(B321="","",IF(LEFT(TRIM(B321),2)="ال",MID(TRIM(B321),3,1),LEFT(TRIM(B321),1)))</f>
        <v/>
      </c>
      <c r="M321" s="28">
        <f>IF(B321="","",LEN(TRIM(B321))-LEN(SUBSTITUTE(TRIM(B321)," ",""))+1)</f>
        <v/>
      </c>
      <c r="N321" s="31" t="inlineStr">
        <is>
          <t>Draft</t>
        </is>
      </c>
    </row>
    <row r="322" ht="15" customHeight="1" s="21">
      <c r="A322" s="28" t="n">
        <v>321</v>
      </c>
      <c r="B322" s="29" t="inlineStr">
        <is>
          <t>الهمجي</t>
        </is>
      </c>
      <c r="C322" s="30" t="inlineStr">
        <is>
          <t>El Hamagy</t>
        </is>
      </c>
      <c r="D322" s="31" t="inlineStr">
        <is>
          <t>Masra7eya</t>
        </is>
      </c>
      <c r="E322" s="31" t="n">
        <v>1985</v>
      </c>
      <c r="F322" s="28">
        <f>IF(E322="","",IF(E322&lt;1970,"Abyad w eswed",IF(E322&lt;2000,"70s-90s",IF(E322&lt;2015,"2000s","Gedeed"))))</f>
        <v/>
      </c>
      <c r="G322" s="31" t="inlineStr">
        <is>
          <t>Wasat</t>
        </is>
      </c>
      <c r="H322" s="30" t="inlineStr">
        <is>
          <t>Comedy</t>
        </is>
      </c>
      <c r="I322" s="32" t="inlineStr">
        <is>
          <t>محمد صبحي</t>
        </is>
      </c>
      <c r="J322" s="32" t="n"/>
      <c r="K322" s="32" t="n"/>
      <c r="L322" s="33">
        <f>IF(B322="","",IF(LEFT(TRIM(B322),2)="ال",MID(TRIM(B322),3,1),LEFT(TRIM(B322),1)))</f>
        <v/>
      </c>
      <c r="M322" s="28">
        <f>IF(B322="","",LEN(TRIM(B322))-LEN(SUBSTITUTE(TRIM(B322)," ",""))+1)</f>
        <v/>
      </c>
      <c r="N322" s="31" t="inlineStr">
        <is>
          <t>Draft</t>
        </is>
      </c>
    </row>
    <row r="323" ht="15" customHeight="1" s="21">
      <c r="A323" s="28" t="n">
        <v>322</v>
      </c>
      <c r="B323" s="29" t="inlineStr">
        <is>
          <t>الواد سيد الشغال</t>
        </is>
      </c>
      <c r="C323" s="30" t="inlineStr">
        <is>
          <t>El Wad Sayed El Shaghal</t>
        </is>
      </c>
      <c r="D323" s="31" t="inlineStr">
        <is>
          <t>Masra7eya</t>
        </is>
      </c>
      <c r="E323" s="31" t="n">
        <v>1985</v>
      </c>
      <c r="F323" s="28">
        <f>IF(E323="","",IF(E323&lt;1970,"Abyad w eswed",IF(E323&lt;2000,"70s-90s",IF(E323&lt;2015,"2000s","Gedeed"))))</f>
        <v/>
      </c>
      <c r="G323" s="31" t="inlineStr">
        <is>
          <t>Sahl</t>
        </is>
      </c>
      <c r="H323" s="30" t="inlineStr">
        <is>
          <t>Comedy</t>
        </is>
      </c>
      <c r="I323" s="32" t="inlineStr">
        <is>
          <t>عادل إمام</t>
        </is>
      </c>
      <c r="J323" s="32" t="inlineStr">
        <is>
          <t>سيد</t>
        </is>
      </c>
      <c r="K323" s="32" t="n"/>
      <c r="L323" s="33">
        <f>IF(B323="","",IF(LEFT(TRIM(B323),2)="ال",MID(TRIM(B323),3,1),LEFT(TRIM(B323),1)))</f>
        <v/>
      </c>
      <c r="M323" s="28">
        <f>IF(B323="","",LEN(TRIM(B323))-LEN(SUBSTITUTE(TRIM(B323)," ",""))+1)</f>
        <v/>
      </c>
      <c r="N323" s="31" t="inlineStr">
        <is>
          <t>Draft</t>
        </is>
      </c>
    </row>
    <row r="324" ht="15" customHeight="1" s="21">
      <c r="A324" s="28" t="n">
        <v>323</v>
      </c>
      <c r="B324" s="29" t="inlineStr">
        <is>
          <t>ع الرصيف</t>
        </is>
      </c>
      <c r="C324" s="30" t="inlineStr">
        <is>
          <t>3al Raseef</t>
        </is>
      </c>
      <c r="D324" s="31" t="inlineStr">
        <is>
          <t>Masra7eya</t>
        </is>
      </c>
      <c r="E324" s="31" t="n">
        <v>1987</v>
      </c>
      <c r="F324" s="28">
        <f>IF(E324="","",IF(E324&lt;1970,"Abyad w eswed",IF(E324&lt;2000,"70s-90s",IF(E324&lt;2015,"2000s","Gedeed"))))</f>
        <v/>
      </c>
      <c r="G324" s="31" t="inlineStr">
        <is>
          <t>Wasat</t>
        </is>
      </c>
      <c r="H324" s="30" t="inlineStr">
        <is>
          <t>Comedy</t>
        </is>
      </c>
      <c r="I324" s="32" t="inlineStr">
        <is>
          <t>سهير البابلي</t>
        </is>
      </c>
      <c r="J324" s="32" t="n"/>
      <c r="K324" s="32" t="n"/>
      <c r="L324" s="33">
        <f>IF(B324="","",IF(LEFT(TRIM(B324),2)="ال",MID(TRIM(B324),3,1),LEFT(TRIM(B324),1)))</f>
        <v/>
      </c>
      <c r="M324" s="28">
        <f>IF(B324="","",LEN(TRIM(B324))-LEN(SUBSTITUTE(TRIM(B324)," ",""))+1)</f>
        <v/>
      </c>
      <c r="N324" s="31" t="inlineStr">
        <is>
          <t>Rage3ha</t>
        </is>
      </c>
    </row>
    <row r="325" ht="15" customHeight="1" s="21">
      <c r="A325" s="28" t="n">
        <v>324</v>
      </c>
      <c r="B325" s="29" t="inlineStr">
        <is>
          <t>فارس وبني خيبان</t>
        </is>
      </c>
      <c r="C325" s="30" t="inlineStr">
        <is>
          <t>Fares w Bani Khayban</t>
        </is>
      </c>
      <c r="D325" s="31" t="inlineStr">
        <is>
          <t>Masra7eya</t>
        </is>
      </c>
      <c r="E325" s="31" t="n">
        <v>1987</v>
      </c>
      <c r="F325" s="28">
        <f>IF(E325="","",IF(E325&lt;1970,"Abyad w eswed",IF(E325&lt;2000,"70s-90s",IF(E325&lt;2015,"2000s","Gedeed"))))</f>
        <v/>
      </c>
      <c r="G325" s="31" t="inlineStr">
        <is>
          <t>Wasat</t>
        </is>
      </c>
      <c r="H325" s="30" t="inlineStr">
        <is>
          <t>Comedy</t>
        </is>
      </c>
      <c r="I325" s="32" t="inlineStr">
        <is>
          <t>سمير غانم</t>
        </is>
      </c>
      <c r="J325" s="32" t="inlineStr">
        <is>
          <t>فارس</t>
        </is>
      </c>
      <c r="K325" s="32" t="n"/>
      <c r="L325" s="33">
        <f>IF(B325="","",IF(LEFT(TRIM(B325),2)="ال",MID(TRIM(B325),3,1),LEFT(TRIM(B325),1)))</f>
        <v/>
      </c>
      <c r="M325" s="28">
        <f>IF(B325="","",LEN(TRIM(B325))-LEN(SUBSTITUTE(TRIM(B325)," ",""))+1)</f>
        <v/>
      </c>
      <c r="N325" s="31" t="inlineStr">
        <is>
          <t>Draft</t>
        </is>
      </c>
    </row>
    <row r="326" ht="15" customHeight="1" s="21">
      <c r="A326" s="28" t="n">
        <v>325</v>
      </c>
      <c r="B326" s="29" t="inlineStr">
        <is>
          <t>وجهة نظر</t>
        </is>
      </c>
      <c r="C326" s="30" t="inlineStr">
        <is>
          <t>Weghet Nazar</t>
        </is>
      </c>
      <c r="D326" s="31" t="inlineStr">
        <is>
          <t>Masra7eya</t>
        </is>
      </c>
      <c r="E326" s="31" t="n">
        <v>1989</v>
      </c>
      <c r="F326" s="28">
        <f>IF(E326="","",IF(E326&lt;1970,"Abyad w eswed",IF(E326&lt;2000,"70s-90s",IF(E326&lt;2015,"2000s","Gedeed"))))</f>
        <v/>
      </c>
      <c r="G326" s="31" t="inlineStr">
        <is>
          <t>Sa3b</t>
        </is>
      </c>
      <c r="H326" s="30" t="inlineStr">
        <is>
          <t>Comedy</t>
        </is>
      </c>
      <c r="I326" s="32" t="inlineStr">
        <is>
          <t>محمد صبحي</t>
        </is>
      </c>
      <c r="J326" s="32" t="n"/>
      <c r="K326" s="32" t="n"/>
      <c r="L326" s="33">
        <f>IF(B326="","",IF(LEFT(TRIM(B326),2)="ال",MID(TRIM(B326),3,1),LEFT(TRIM(B326),1)))</f>
        <v/>
      </c>
      <c r="M326" s="28">
        <f>IF(B326="","",LEN(TRIM(B326))-LEN(SUBSTITUTE(TRIM(B326)," ",""))+1)</f>
        <v/>
      </c>
      <c r="N326" s="31" t="inlineStr">
        <is>
          <t>Rage3ha</t>
        </is>
      </c>
    </row>
    <row r="327" ht="15" customHeight="1" s="21">
      <c r="A327" s="28" t="n">
        <v>326</v>
      </c>
      <c r="B327" s="29" t="inlineStr">
        <is>
          <t>الزعيم</t>
        </is>
      </c>
      <c r="C327" s="30" t="inlineStr">
        <is>
          <t>El Za3eem</t>
        </is>
      </c>
      <c r="D327" s="31" t="inlineStr">
        <is>
          <t>Masra7eya</t>
        </is>
      </c>
      <c r="E327" s="31" t="n">
        <v>1993</v>
      </c>
      <c r="F327" s="28">
        <f>IF(E327="","",IF(E327&lt;1970,"Abyad w eswed",IF(E327&lt;2000,"70s-90s",IF(E327&lt;2015,"2000s","Gedeed"))))</f>
        <v/>
      </c>
      <c r="G327" s="31" t="inlineStr">
        <is>
          <t>Wasat</t>
        </is>
      </c>
      <c r="H327" s="30" t="inlineStr">
        <is>
          <t>Comedy</t>
        </is>
      </c>
      <c r="I327" s="32" t="inlineStr">
        <is>
          <t>عادل إمام</t>
        </is>
      </c>
      <c r="J327" s="32" t="inlineStr">
        <is>
          <t>زينهم</t>
        </is>
      </c>
      <c r="K327" s="32" t="n"/>
      <c r="L327" s="33">
        <f>IF(B327="","",IF(LEFT(TRIM(B327),2)="ال",MID(TRIM(B327),3,1),LEFT(TRIM(B327),1)))</f>
        <v/>
      </c>
      <c r="M327" s="28">
        <f>IF(B327="","",LEN(TRIM(B327))-LEN(SUBSTITUTE(TRIM(B327)," ",""))+1)</f>
        <v/>
      </c>
      <c r="N327" s="31" t="inlineStr">
        <is>
          <t>Draft</t>
        </is>
      </c>
    </row>
    <row r="328" ht="15" customHeight="1" s="21">
      <c r="A328" s="28" t="n">
        <v>327</v>
      </c>
      <c r="B328" s="29" t="inlineStr">
        <is>
          <t>بودي جارد</t>
        </is>
      </c>
      <c r="C328" s="30" t="inlineStr">
        <is>
          <t>Bodyguard</t>
        </is>
      </c>
      <c r="D328" s="31" t="inlineStr">
        <is>
          <t>Masra7eya</t>
        </is>
      </c>
      <c r="E328" s="31" t="n">
        <v>1999</v>
      </c>
      <c r="F328" s="28">
        <f>IF(E328="","",IF(E328&lt;1970,"Abyad w eswed",IF(E328&lt;2000,"70s-90s",IF(E328&lt;2015,"2000s","Gedeed"))))</f>
        <v/>
      </c>
      <c r="G328" s="31" t="inlineStr">
        <is>
          <t>Wasat</t>
        </is>
      </c>
      <c r="H328" s="30" t="inlineStr">
        <is>
          <t>Comedy</t>
        </is>
      </c>
      <c r="I328" s="32" t="inlineStr">
        <is>
          <t>عادل إمام</t>
        </is>
      </c>
      <c r="J328" s="32" t="n"/>
      <c r="K328" s="32" t="n"/>
      <c r="L328" s="33">
        <f>IF(B328="","",IF(LEFT(TRIM(B328),2)="ال",MID(TRIM(B328),3,1),LEFT(TRIM(B328),1)))</f>
        <v/>
      </c>
      <c r="M328" s="28">
        <f>IF(B328="","",LEN(TRIM(B328))-LEN(SUBSTITUTE(TRIM(B328)," ",""))+1)</f>
        <v/>
      </c>
      <c r="N328" s="31" t="inlineStr">
        <is>
          <t>Draft</t>
        </is>
      </c>
    </row>
    <row r="329" ht="15" customHeight="1" s="21">
      <c r="A329" s="28" t="n">
        <v>328</v>
      </c>
      <c r="B329" s="29" t="inlineStr">
        <is>
          <t>الملك لير</t>
        </is>
      </c>
      <c r="C329" s="30" t="inlineStr">
        <is>
          <t>El Malek Lear</t>
        </is>
      </c>
      <c r="D329" s="31" t="inlineStr">
        <is>
          <t>Masra7eya</t>
        </is>
      </c>
      <c r="E329" s="31" t="n">
        <v>2001</v>
      </c>
      <c r="F329" s="28">
        <f>IF(E329="","",IF(E329&lt;1970,"Abyad w eswed",IF(E329&lt;2000,"70s-90s",IF(E329&lt;2015,"2000s","Gedeed"))))</f>
        <v/>
      </c>
      <c r="G329" s="31" t="inlineStr">
        <is>
          <t>Sa3b</t>
        </is>
      </c>
      <c r="H329" s="30" t="inlineStr">
        <is>
          <t>Drama</t>
        </is>
      </c>
      <c r="I329" s="32" t="inlineStr">
        <is>
          <t>يحيى الفخراني</t>
        </is>
      </c>
      <c r="J329" s="32" t="inlineStr">
        <is>
          <t>الملك لير</t>
        </is>
      </c>
      <c r="K329" s="32" t="n"/>
      <c r="L329" s="33">
        <f>IF(B329="","",IF(LEFT(TRIM(B329),2)="ال",MID(TRIM(B329),3,1),LEFT(TRIM(B329),1)))</f>
        <v/>
      </c>
      <c r="M329" s="28">
        <f>IF(B329="","",LEN(TRIM(B329))-LEN(SUBSTITUTE(TRIM(B329)," ",""))+1)</f>
        <v/>
      </c>
      <c r="N329" s="31" t="inlineStr">
        <is>
          <t>Rage3ha</t>
        </is>
      </c>
    </row>
    <row r="330" ht="15" customHeight="1" s="21">
      <c r="A330" s="28" t="n">
        <v>329</v>
      </c>
      <c r="B330" s="29" t="inlineStr">
        <is>
          <t>تياترو مصر</t>
        </is>
      </c>
      <c r="C330" s="30" t="inlineStr">
        <is>
          <t>Tiatro Masr</t>
        </is>
      </c>
      <c r="D330" s="31" t="inlineStr">
        <is>
          <t>Masra7eya</t>
        </is>
      </c>
      <c r="E330" s="31" t="n">
        <v>2013</v>
      </c>
      <c r="F330" s="28">
        <f>IF(E330="","",IF(E330&lt;1970,"Abyad w eswed",IF(E330&lt;2000,"70s-90s",IF(E330&lt;2015,"2000s","Gedeed"))))</f>
        <v/>
      </c>
      <c r="G330" s="31" t="inlineStr">
        <is>
          <t>Sahl</t>
        </is>
      </c>
      <c r="H330" s="30" t="inlineStr">
        <is>
          <t>Comedy</t>
        </is>
      </c>
      <c r="I330" s="32" t="inlineStr">
        <is>
          <t>أشرف عبد الباقي</t>
        </is>
      </c>
      <c r="J330" s="32" t="n"/>
      <c r="K330" s="32" t="n"/>
      <c r="L330" s="33">
        <f>IF(B330="","",IF(LEFT(TRIM(B330),2)="ال",MID(TRIM(B330),3,1),LEFT(TRIM(B330),1)))</f>
        <v/>
      </c>
      <c r="M330" s="28">
        <f>IF(B330="","",LEN(TRIM(B330))-LEN(SUBSTITUTE(TRIM(B330)," ",""))+1)</f>
        <v/>
      </c>
      <c r="N330" s="31" t="inlineStr">
        <is>
          <t>Draft</t>
        </is>
      </c>
    </row>
    <row r="331">
      <c r="A331" t="n">
        <v>330</v>
      </c>
      <c r="B331" s="20" t="inlineStr">
        <is>
          <t>بليا ودماغه العالية</t>
        </is>
      </c>
      <c r="C331" s="20" t="inlineStr">
        <is>
          <t>Belya w Dema3'o el 3alya</t>
        </is>
      </c>
      <c r="D331" s="20" t="inlineStr">
        <is>
          <t>Film</t>
        </is>
      </c>
      <c r="E331" s="20" t="n">
        <v>2000</v>
      </c>
      <c r="F331">
        <f>IF(E331="","",IF(E331&lt;1970,"Abyad w eswed",IF(E331&lt;2000,"70s-90s",IF(E331&lt;2015,"2000s","Gedeed"))))</f>
        <v/>
      </c>
      <c r="G331" s="20" t="inlineStr">
        <is>
          <t>Wasat</t>
        </is>
      </c>
      <c r="H331" s="20" t="inlineStr">
        <is>
          <t>Comedy</t>
        </is>
      </c>
      <c r="I331" s="20" t="inlineStr">
        <is>
          <t>محمد هنيدي</t>
        </is>
      </c>
      <c r="J331" s="20" t="inlineStr">
        <is>
          <t>بليا</t>
        </is>
      </c>
      <c r="K331" s="20" t="inlineStr"/>
      <c r="L331">
        <f>IF(B331="","",IF(LEFT(TRIM(B331),2)="ال",MID(TRIM(B331),3,1),LEFT(TRIM(B331),1)))</f>
        <v/>
      </c>
      <c r="M331">
        <f>IF(B331="","",LEN(TRIM(B331))-LEN(SUBSTITUTE(TRIM(B331)," ",""))+1)</f>
        <v/>
      </c>
      <c r="N331" t="inlineStr">
        <is>
          <t>Draft</t>
        </is>
      </c>
    </row>
    <row r="332">
      <c r="A332" t="n">
        <v>331</v>
      </c>
      <c r="B332" s="20" t="inlineStr">
        <is>
          <t>عنتر ابن ابن ابن ابن شداد</t>
        </is>
      </c>
      <c r="C332" s="20" t="inlineStr">
        <is>
          <t>3antar Ebn Ebn Ebn Ebn Shaddad</t>
        </is>
      </c>
      <c r="D332" s="20" t="inlineStr">
        <is>
          <t>Film</t>
        </is>
      </c>
      <c r="E332" s="20" t="n">
        <v>2017</v>
      </c>
      <c r="F332">
        <f>IF(E332="","",IF(E332&lt;1970,"Abyad w eswed",IF(E332&lt;2000,"70s-90s",IF(E332&lt;2015,"2000s","Gedeed"))))</f>
        <v/>
      </c>
      <c r="G332" s="20" t="inlineStr">
        <is>
          <t>Wasat</t>
        </is>
      </c>
      <c r="H332" s="20" t="inlineStr">
        <is>
          <t>Comedy</t>
        </is>
      </c>
      <c r="I332" s="20" t="inlineStr">
        <is>
          <t>محمد هنيدي</t>
        </is>
      </c>
      <c r="J332" s="20" t="inlineStr">
        <is>
          <t>عنتر</t>
        </is>
      </c>
      <c r="K332" s="20" t="inlineStr"/>
      <c r="L332">
        <f>IF(B332="","",IF(LEFT(TRIM(B332),2)="ال",MID(TRIM(B332),3,1),LEFT(TRIM(B332),1)))</f>
        <v/>
      </c>
      <c r="M332">
        <f>IF(B332="","",LEN(TRIM(B332))-LEN(SUBSTITUTE(TRIM(B332)," ",""))+1)</f>
        <v/>
      </c>
      <c r="N332" t="inlineStr">
        <is>
          <t>Draft</t>
        </is>
      </c>
    </row>
    <row r="333">
      <c r="A333" t="n">
        <v>332</v>
      </c>
      <c r="B333" s="20" t="inlineStr">
        <is>
          <t>مرعي البريمو</t>
        </is>
      </c>
      <c r="C333" s="20" t="inlineStr">
        <is>
          <t>Mar3y el Bremo</t>
        </is>
      </c>
      <c r="D333" s="20" t="inlineStr">
        <is>
          <t>Film</t>
        </is>
      </c>
      <c r="E333" s="20" t="n">
        <v>2023</v>
      </c>
      <c r="F333">
        <f>IF(E333="","",IF(E333&lt;1970,"Abyad w eswed",IF(E333&lt;2000,"70s-90s",IF(E333&lt;2015,"2000s","Gedeed"))))</f>
        <v/>
      </c>
      <c r="G333" s="20" t="inlineStr">
        <is>
          <t>Wasat</t>
        </is>
      </c>
      <c r="H333" s="20" t="inlineStr">
        <is>
          <t>Comedy</t>
        </is>
      </c>
      <c r="I333" s="20" t="inlineStr">
        <is>
          <t>محمد هنيدي</t>
        </is>
      </c>
      <c r="J333" s="20" t="inlineStr">
        <is>
          <t>مرعي</t>
        </is>
      </c>
      <c r="K333" s="20" t="inlineStr"/>
      <c r="L333">
        <f>IF(B333="","",IF(LEFT(TRIM(B333),2)="ال",MID(TRIM(B333),3,1),LEFT(TRIM(B333),1)))</f>
        <v/>
      </c>
      <c r="M333">
        <f>IF(B333="","",LEN(TRIM(B333))-LEN(SUBSTITUTE(TRIM(B333)," ",""))+1)</f>
        <v/>
      </c>
      <c r="N333" t="inlineStr">
        <is>
          <t>Draft</t>
        </is>
      </c>
    </row>
    <row r="334">
      <c r="A334" t="n">
        <v>333</v>
      </c>
      <c r="B334" s="20" t="inlineStr">
        <is>
          <t>بوشكاش</t>
        </is>
      </c>
      <c r="C334" s="20" t="inlineStr">
        <is>
          <t>Boushkash</t>
        </is>
      </c>
      <c r="D334" s="20" t="inlineStr">
        <is>
          <t>Film</t>
        </is>
      </c>
      <c r="E334" s="20" t="n">
        <v>2008</v>
      </c>
      <c r="F334">
        <f>IF(E334="","",IF(E334&lt;1970,"Abyad w eswed",IF(E334&lt;2000,"70s-90s",IF(E334&lt;2015,"2000s","Gedeed"))))</f>
        <v/>
      </c>
      <c r="G334" s="20" t="inlineStr">
        <is>
          <t>Wasat</t>
        </is>
      </c>
      <c r="H334" s="20" t="inlineStr">
        <is>
          <t>Comedy</t>
        </is>
      </c>
      <c r="I334" s="20" t="inlineStr">
        <is>
          <t>محمد سعد</t>
        </is>
      </c>
      <c r="J334" s="20" t="inlineStr">
        <is>
          <t>بوشكاش</t>
        </is>
      </c>
      <c r="K334" s="20" t="inlineStr"/>
      <c r="L334">
        <f>IF(B334="","",IF(LEFT(TRIM(B334),2)="ال",MID(TRIM(B334),3,1),LEFT(TRIM(B334),1)))</f>
        <v/>
      </c>
      <c r="M334">
        <f>IF(B334="","",LEN(TRIM(B334))-LEN(SUBSTITUTE(TRIM(B334)," ",""))+1)</f>
        <v/>
      </c>
      <c r="N334" t="inlineStr">
        <is>
          <t>Draft</t>
        </is>
      </c>
    </row>
    <row r="335">
      <c r="A335" t="n">
        <v>334</v>
      </c>
      <c r="B335" s="20" t="inlineStr">
        <is>
          <t>تتح</t>
        </is>
      </c>
      <c r="C335" s="20" t="inlineStr">
        <is>
          <t>Tata7</t>
        </is>
      </c>
      <c r="D335" s="20" t="inlineStr">
        <is>
          <t>Film</t>
        </is>
      </c>
      <c r="E335" s="20" t="n">
        <v>2013</v>
      </c>
      <c r="F335">
        <f>IF(E335="","",IF(E335&lt;1970,"Abyad w eswed",IF(E335&lt;2000,"70s-90s",IF(E335&lt;2015,"2000s","Gedeed"))))</f>
        <v/>
      </c>
      <c r="G335" s="20" t="inlineStr">
        <is>
          <t>Wasat</t>
        </is>
      </c>
      <c r="H335" s="20" t="inlineStr">
        <is>
          <t>Comedy</t>
        </is>
      </c>
      <c r="I335" s="20" t="inlineStr">
        <is>
          <t>محمد سعد</t>
        </is>
      </c>
      <c r="J335" s="20" t="inlineStr">
        <is>
          <t>تتح</t>
        </is>
      </c>
      <c r="K335" s="20" t="inlineStr"/>
      <c r="L335">
        <f>IF(B335="","",IF(LEFT(TRIM(B335),2)="ال",MID(TRIM(B335),3,1),LEFT(TRIM(B335),1)))</f>
        <v/>
      </c>
      <c r="M335">
        <f>IF(B335="","",LEN(TRIM(B335))-LEN(SUBSTITUTE(TRIM(B335)," ",""))+1)</f>
        <v/>
      </c>
      <c r="N335" t="inlineStr">
        <is>
          <t>Draft</t>
        </is>
      </c>
    </row>
    <row r="336">
      <c r="A336" t="n">
        <v>335</v>
      </c>
      <c r="B336" s="20" t="inlineStr">
        <is>
          <t>الجزيرة 2</t>
        </is>
      </c>
      <c r="C336" s="20" t="inlineStr">
        <is>
          <t>El Gezira 2</t>
        </is>
      </c>
      <c r="D336" s="20" t="inlineStr">
        <is>
          <t>Film</t>
        </is>
      </c>
      <c r="E336" s="20" t="n">
        <v>2014</v>
      </c>
      <c r="F336">
        <f>IF(E336="","",IF(E336&lt;1970,"Abyad w eswed",IF(E336&lt;2000,"70s-90s",IF(E336&lt;2015,"2000s","Gedeed"))))</f>
        <v/>
      </c>
      <c r="G336" s="20" t="inlineStr">
        <is>
          <t>Wasat</t>
        </is>
      </c>
      <c r="H336" s="20" t="inlineStr">
        <is>
          <t>Action</t>
        </is>
      </c>
      <c r="I336" s="20" t="inlineStr">
        <is>
          <t>أحمد السقا</t>
        </is>
      </c>
      <c r="J336" s="20" t="inlineStr">
        <is>
          <t>منصور الحفني</t>
        </is>
      </c>
      <c r="K336" s="20" t="inlineStr"/>
      <c r="L336">
        <f>IF(B336="","",IF(LEFT(TRIM(B336),2)="ال",MID(TRIM(B336),3,1),LEFT(TRIM(B336),1)))</f>
        <v/>
      </c>
      <c r="M336">
        <f>IF(B336="","",LEN(TRIM(B336))-LEN(SUBSTITUTE(TRIM(B336)," ",""))+1)</f>
        <v/>
      </c>
      <c r="N336" t="inlineStr">
        <is>
          <t>Draft</t>
        </is>
      </c>
    </row>
    <row r="337">
      <c r="A337" t="n">
        <v>336</v>
      </c>
      <c r="B337" s="20" t="inlineStr">
        <is>
          <t>ولاد رزق 2</t>
        </is>
      </c>
      <c r="C337" s="20" t="inlineStr">
        <is>
          <t>Welad Rizk 2</t>
        </is>
      </c>
      <c r="D337" s="20" t="inlineStr">
        <is>
          <t>Film</t>
        </is>
      </c>
      <c r="E337" s="20" t="n">
        <v>2019</v>
      </c>
      <c r="F337">
        <f>IF(E337="","",IF(E337&lt;1970,"Abyad w eswed",IF(E337&lt;2000,"70s-90s",IF(E337&lt;2015,"2000s","Gedeed"))))</f>
        <v/>
      </c>
      <c r="G337" s="20" t="inlineStr">
        <is>
          <t>Sahl</t>
        </is>
      </c>
      <c r="H337" s="20" t="inlineStr">
        <is>
          <t>Action</t>
        </is>
      </c>
      <c r="I337" s="20" t="inlineStr">
        <is>
          <t>أحمد عز</t>
        </is>
      </c>
      <c r="J337" s="20" t="inlineStr">
        <is>
          <t>رضا</t>
        </is>
      </c>
      <c r="K337" s="20" t="inlineStr"/>
      <c r="L337">
        <f>IF(B337="","",IF(LEFT(TRIM(B337),2)="ال",MID(TRIM(B337),3,1),LEFT(TRIM(B337),1)))</f>
        <v/>
      </c>
      <c r="M337">
        <f>IF(B337="","",LEN(TRIM(B337))-LEN(SUBSTITUTE(TRIM(B337)," ",""))+1)</f>
        <v/>
      </c>
      <c r="N337" t="inlineStr">
        <is>
          <t>Draft</t>
        </is>
      </c>
    </row>
    <row r="338">
      <c r="A338" t="n">
        <v>337</v>
      </c>
      <c r="B338" s="20" t="inlineStr">
        <is>
          <t>ولاد رزق 3</t>
        </is>
      </c>
      <c r="C338" s="20" t="inlineStr">
        <is>
          <t>Welad Rizk 3</t>
        </is>
      </c>
      <c r="D338" s="20" t="inlineStr">
        <is>
          <t>Film</t>
        </is>
      </c>
      <c r="E338" s="20" t="n">
        <v>2024</v>
      </c>
      <c r="F338">
        <f>IF(E338="","",IF(E338&lt;1970,"Abyad w eswed",IF(E338&lt;2000,"70s-90s",IF(E338&lt;2015,"2000s","Gedeed"))))</f>
        <v/>
      </c>
      <c r="G338" s="20" t="inlineStr">
        <is>
          <t>Sahl</t>
        </is>
      </c>
      <c r="H338" s="20" t="inlineStr">
        <is>
          <t>Action</t>
        </is>
      </c>
      <c r="I338" s="20" t="inlineStr">
        <is>
          <t>أحمد عز</t>
        </is>
      </c>
      <c r="J338" s="20" t="inlineStr">
        <is>
          <t>رضا</t>
        </is>
      </c>
      <c r="K338" s="20" t="inlineStr"/>
      <c r="L338">
        <f>IF(B338="","",IF(LEFT(TRIM(B338),2)="ال",MID(TRIM(B338),3,1),LEFT(TRIM(B338),1)))</f>
        <v/>
      </c>
      <c r="M338">
        <f>IF(B338="","",LEN(TRIM(B338))-LEN(SUBSTITUTE(TRIM(B338)," ",""))+1)</f>
        <v/>
      </c>
      <c r="N338" t="inlineStr">
        <is>
          <t>Draft</t>
        </is>
      </c>
    </row>
    <row r="339">
      <c r="A339" t="n">
        <v>338</v>
      </c>
      <c r="B339" s="20" t="inlineStr">
        <is>
          <t>سامي أكسيد الكربون</t>
        </is>
      </c>
      <c r="C339" s="20" t="inlineStr">
        <is>
          <t>Samy Oxide el Carbon</t>
        </is>
      </c>
      <c r="D339" s="20" t="inlineStr">
        <is>
          <t>Film</t>
        </is>
      </c>
      <c r="E339" s="20" t="n">
        <v>2010</v>
      </c>
      <c r="F339">
        <f>IF(E339="","",IF(E339&lt;1970,"Abyad w eswed",IF(E339&lt;2000,"70s-90s",IF(E339&lt;2015,"2000s","Gedeed"))))</f>
        <v/>
      </c>
      <c r="G339" s="20" t="inlineStr">
        <is>
          <t>Wasat</t>
        </is>
      </c>
      <c r="H339" s="20" t="inlineStr">
        <is>
          <t>Comedy</t>
        </is>
      </c>
      <c r="I339" s="20" t="inlineStr">
        <is>
          <t>هاني رمزي</t>
        </is>
      </c>
      <c r="J339" s="20" t="inlineStr">
        <is>
          <t>سامي</t>
        </is>
      </c>
      <c r="K339" s="20" t="inlineStr"/>
      <c r="L339">
        <f>IF(B339="","",IF(LEFT(TRIM(B339),2)="ال",MID(TRIM(B339),3,1),LEFT(TRIM(B339),1)))</f>
        <v/>
      </c>
      <c r="M339">
        <f>IF(B339="","",LEN(TRIM(B339))-LEN(SUBSTITUTE(TRIM(B339)," ",""))+1)</f>
        <v/>
      </c>
      <c r="N339" t="inlineStr">
        <is>
          <t>Draft</t>
        </is>
      </c>
    </row>
    <row r="340">
      <c r="A340" t="n">
        <v>339</v>
      </c>
      <c r="B340" s="20" t="inlineStr">
        <is>
          <t>1000 مبروك</t>
        </is>
      </c>
      <c r="C340" s="20" t="inlineStr">
        <is>
          <t>Alf Mabrouk</t>
        </is>
      </c>
      <c r="D340" s="20" t="inlineStr">
        <is>
          <t>Film</t>
        </is>
      </c>
      <c r="E340" s="20" t="n">
        <v>2009</v>
      </c>
      <c r="F340">
        <f>IF(E340="","",IF(E340&lt;1970,"Abyad w eswed",IF(E340&lt;2000,"70s-90s",IF(E340&lt;2015,"2000s","Gedeed"))))</f>
        <v/>
      </c>
      <c r="G340" s="20" t="inlineStr">
        <is>
          <t>Wasat</t>
        </is>
      </c>
      <c r="H340" s="20" t="inlineStr">
        <is>
          <t>Comedy</t>
        </is>
      </c>
      <c r="I340" s="20" t="inlineStr">
        <is>
          <t>أحمد حلمي</t>
        </is>
      </c>
      <c r="J340" s="20" t="inlineStr">
        <is>
          <t>أحمد جلال</t>
        </is>
      </c>
      <c r="K340" s="20" t="inlineStr"/>
      <c r="L340">
        <f>IF(B340="","",IF(LEFT(TRIM(B340),2)="ال",MID(TRIM(B340),3,1),LEFT(TRIM(B340),1)))</f>
        <v/>
      </c>
      <c r="M340">
        <f>IF(B340="","",LEN(TRIM(B340))-LEN(SUBSTITUTE(TRIM(B340)," ",""))+1)</f>
        <v/>
      </c>
      <c r="N340" t="inlineStr">
        <is>
          <t>Draft</t>
        </is>
      </c>
    </row>
    <row r="341">
      <c r="A341" t="n">
        <v>340</v>
      </c>
      <c r="B341" s="20" t="inlineStr">
        <is>
          <t>عمر وسلمى 2</t>
        </is>
      </c>
      <c r="C341" s="20" t="inlineStr">
        <is>
          <t>3omar w Salma 2</t>
        </is>
      </c>
      <c r="D341" s="20" t="inlineStr">
        <is>
          <t>Film</t>
        </is>
      </c>
      <c r="E341" s="20" t="n">
        <v>2009</v>
      </c>
      <c r="F341">
        <f>IF(E341="","",IF(E341&lt;1970,"Abyad w eswed",IF(E341&lt;2000,"70s-90s",IF(E341&lt;2015,"2000s","Gedeed"))))</f>
        <v/>
      </c>
      <c r="G341" s="20" t="inlineStr">
        <is>
          <t>Wasat</t>
        </is>
      </c>
      <c r="H341" s="20" t="inlineStr">
        <is>
          <t>Romance</t>
        </is>
      </c>
      <c r="I341" s="20" t="inlineStr">
        <is>
          <t>تامر حسني</t>
        </is>
      </c>
      <c r="J341" s="20" t="inlineStr">
        <is>
          <t>عمر</t>
        </is>
      </c>
      <c r="K341" s="20" t="inlineStr"/>
      <c r="L341">
        <f>IF(B341="","",IF(LEFT(TRIM(B341),2)="ال",MID(TRIM(B341),3,1),LEFT(TRIM(B341),1)))</f>
        <v/>
      </c>
      <c r="M341">
        <f>IF(B341="","",LEN(TRIM(B341))-LEN(SUBSTITUTE(TRIM(B341)," ",""))+1)</f>
        <v/>
      </c>
      <c r="N341" t="inlineStr">
        <is>
          <t>Draft</t>
        </is>
      </c>
    </row>
    <row r="342">
      <c r="A342" t="n">
        <v>341</v>
      </c>
      <c r="B342" s="20" t="inlineStr">
        <is>
          <t>عمر وسلمى 3</t>
        </is>
      </c>
      <c r="C342" s="20" t="inlineStr">
        <is>
          <t>3omar w Salma 3</t>
        </is>
      </c>
      <c r="D342" s="20" t="inlineStr">
        <is>
          <t>Film</t>
        </is>
      </c>
      <c r="E342" s="20" t="n">
        <v>2012</v>
      </c>
      <c r="F342">
        <f>IF(E342="","",IF(E342&lt;1970,"Abyad w eswed",IF(E342&lt;2000,"70s-90s",IF(E342&lt;2015,"2000s","Gedeed"))))</f>
        <v/>
      </c>
      <c r="G342" s="20" t="inlineStr">
        <is>
          <t>Wasat</t>
        </is>
      </c>
      <c r="H342" s="20" t="inlineStr">
        <is>
          <t>Romance</t>
        </is>
      </c>
      <c r="I342" s="20" t="inlineStr">
        <is>
          <t>تامر حسني</t>
        </is>
      </c>
      <c r="J342" s="20" t="inlineStr">
        <is>
          <t>عمر</t>
        </is>
      </c>
      <c r="K342" s="20" t="inlineStr"/>
      <c r="L342">
        <f>IF(B342="","",IF(LEFT(TRIM(B342),2)="ال",MID(TRIM(B342),3,1),LEFT(TRIM(B342),1)))</f>
        <v/>
      </c>
      <c r="M342">
        <f>IF(B342="","",LEN(TRIM(B342))-LEN(SUBSTITUTE(TRIM(B342)," ",""))+1)</f>
        <v/>
      </c>
      <c r="N342" t="inlineStr">
        <is>
          <t>Draft</t>
        </is>
      </c>
    </row>
    <row r="343">
      <c r="A343" t="n">
        <v>342</v>
      </c>
      <c r="B343" s="20" t="inlineStr">
        <is>
          <t>كابتن هيما</t>
        </is>
      </c>
      <c r="C343" s="20" t="inlineStr">
        <is>
          <t>Captain Hima</t>
        </is>
      </c>
      <c r="D343" s="20" t="inlineStr">
        <is>
          <t>Film</t>
        </is>
      </c>
      <c r="E343" s="20" t="n">
        <v>2008</v>
      </c>
      <c r="F343">
        <f>IF(E343="","",IF(E343&lt;1970,"Abyad w eswed",IF(E343&lt;2000,"70s-90s",IF(E343&lt;2015,"2000s","Gedeed"))))</f>
        <v/>
      </c>
      <c r="G343" s="20" t="inlineStr">
        <is>
          <t>Wasat</t>
        </is>
      </c>
      <c r="H343" s="20" t="inlineStr">
        <is>
          <t>Comedy</t>
        </is>
      </c>
      <c r="I343" s="20" t="inlineStr">
        <is>
          <t>تامر حسني</t>
        </is>
      </c>
      <c r="J343" s="20" t="inlineStr">
        <is>
          <t>هيما</t>
        </is>
      </c>
      <c r="K343" s="20" t="inlineStr"/>
      <c r="L343">
        <f>IF(B343="","",IF(LEFT(TRIM(B343),2)="ال",MID(TRIM(B343),3,1),LEFT(TRIM(B343),1)))</f>
        <v/>
      </c>
      <c r="M343">
        <f>IF(B343="","",LEN(TRIM(B343))-LEN(SUBSTITUTE(TRIM(B343)," ",""))+1)</f>
        <v/>
      </c>
      <c r="N343" t="inlineStr">
        <is>
          <t>Draft</t>
        </is>
      </c>
    </row>
    <row r="344">
      <c r="A344" t="n">
        <v>343</v>
      </c>
      <c r="B344" s="20" t="inlineStr">
        <is>
          <t>تاج</t>
        </is>
      </c>
      <c r="C344" s="20" t="inlineStr">
        <is>
          <t>Tag</t>
        </is>
      </c>
      <c r="D344" s="20" t="inlineStr">
        <is>
          <t>Film</t>
        </is>
      </c>
      <c r="E344" s="20" t="n">
        <v>2023</v>
      </c>
      <c r="F344">
        <f>IF(E344="","",IF(E344&lt;1970,"Abyad w eswed",IF(E344&lt;2000,"70s-90s",IF(E344&lt;2015,"2000s","Gedeed"))))</f>
        <v/>
      </c>
      <c r="G344" s="20" t="inlineStr">
        <is>
          <t>Wasat</t>
        </is>
      </c>
      <c r="H344" s="20" t="inlineStr">
        <is>
          <t>Action</t>
        </is>
      </c>
      <c r="I344" s="20" t="inlineStr">
        <is>
          <t>تامر حسني</t>
        </is>
      </c>
      <c r="J344" s="20" t="inlineStr">
        <is>
          <t>تاج</t>
        </is>
      </c>
      <c r="K344" s="20" t="inlineStr"/>
      <c r="L344">
        <f>IF(B344="","",IF(LEFT(TRIM(B344),2)="ال",MID(TRIM(B344),3,1),LEFT(TRIM(B344),1)))</f>
        <v/>
      </c>
      <c r="M344">
        <f>IF(B344="","",LEN(TRIM(B344))-LEN(SUBSTITUTE(TRIM(B344)," ",""))+1)</f>
        <v/>
      </c>
      <c r="N344" t="inlineStr">
        <is>
          <t>Draft</t>
        </is>
      </c>
    </row>
    <row r="345">
      <c r="A345" t="n">
        <v>344</v>
      </c>
      <c r="B345" s="20" t="inlineStr">
        <is>
          <t>أسد</t>
        </is>
      </c>
      <c r="C345" s="20" t="inlineStr">
        <is>
          <t>Asad</t>
        </is>
      </c>
      <c r="D345" s="20" t="inlineStr">
        <is>
          <t>Film</t>
        </is>
      </c>
      <c r="E345" s="20" t="n">
        <v>2026</v>
      </c>
      <c r="F345">
        <f>IF(E345="","",IF(E345&lt;1970,"Abyad w eswed",IF(E345&lt;2000,"70s-90s",IF(E345&lt;2015,"2000s","Gedeed"))))</f>
        <v/>
      </c>
      <c r="G345" s="20" t="inlineStr">
        <is>
          <t>Wasat</t>
        </is>
      </c>
      <c r="H345" s="20" t="inlineStr">
        <is>
          <t>Ta2reekhy</t>
        </is>
      </c>
      <c r="I345" s="20" t="inlineStr">
        <is>
          <t>محمد رمضان</t>
        </is>
      </c>
      <c r="J345" s="20" t="inlineStr">
        <is>
          <t>أسد</t>
        </is>
      </c>
      <c r="K345" s="20" t="inlineStr"/>
      <c r="L345">
        <f>IF(B345="","",IF(LEFT(TRIM(B345),2)="ال",MID(TRIM(B345),3,1),LEFT(TRIM(B345),1)))</f>
        <v/>
      </c>
      <c r="M345">
        <f>IF(B345="","",LEN(TRIM(B345))-LEN(SUBSTITUTE(TRIM(B345)," ",""))+1)</f>
        <v/>
      </c>
      <c r="N345" t="inlineStr">
        <is>
          <t>Draft</t>
        </is>
      </c>
    </row>
    <row r="346">
      <c r="A346" t="n">
        <v>345</v>
      </c>
      <c r="B346" s="20" t="inlineStr">
        <is>
          <t>أسماء</t>
        </is>
      </c>
      <c r="C346" s="20" t="inlineStr">
        <is>
          <t>Asmaa</t>
        </is>
      </c>
      <c r="D346" s="20" t="inlineStr">
        <is>
          <t>Film</t>
        </is>
      </c>
      <c r="E346" s="20" t="n">
        <v>2011</v>
      </c>
      <c r="F346">
        <f>IF(E346="","",IF(E346&lt;1970,"Abyad w eswed",IF(E346&lt;2000,"70s-90s",IF(E346&lt;2015,"2000s","Gedeed"))))</f>
        <v/>
      </c>
      <c r="G346" s="20" t="inlineStr">
        <is>
          <t>Sa3b</t>
        </is>
      </c>
      <c r="H346" s="20" t="inlineStr">
        <is>
          <t>Drama</t>
        </is>
      </c>
      <c r="I346" s="20" t="inlineStr">
        <is>
          <t>هند صبري</t>
        </is>
      </c>
      <c r="J346" s="20" t="inlineStr">
        <is>
          <t>أسماء</t>
        </is>
      </c>
      <c r="K346" s="20" t="inlineStr"/>
      <c r="L346">
        <f>IF(B346="","",IF(LEFT(TRIM(B346),2)="ال",MID(TRIM(B346),3,1),LEFT(TRIM(B346),1)))</f>
        <v/>
      </c>
      <c r="M346">
        <f>IF(B346="","",LEN(TRIM(B346))-LEN(SUBSTITUTE(TRIM(B346)," ",""))+1)</f>
        <v/>
      </c>
      <c r="N346" t="inlineStr">
        <is>
          <t>Draft</t>
        </is>
      </c>
    </row>
    <row r="347">
      <c r="A347" t="n">
        <v>346</v>
      </c>
      <c r="B347" s="20" t="inlineStr">
        <is>
          <t>كلب بلدي</t>
        </is>
      </c>
      <c r="C347" s="20" t="inlineStr">
        <is>
          <t>Kalb Balady</t>
        </is>
      </c>
      <c r="D347" s="20" t="inlineStr">
        <is>
          <t>Film</t>
        </is>
      </c>
      <c r="E347" s="20" t="n">
        <v>2016</v>
      </c>
      <c r="F347">
        <f>IF(E347="","",IF(E347&lt;1970,"Abyad w eswed",IF(E347&lt;2000,"70s-90s",IF(E347&lt;2015,"2000s","Gedeed"))))</f>
        <v/>
      </c>
      <c r="G347" s="20" t="inlineStr">
        <is>
          <t>Wasat</t>
        </is>
      </c>
      <c r="H347" s="20" t="inlineStr">
        <is>
          <t>Comedy</t>
        </is>
      </c>
      <c r="I347" s="20" t="inlineStr">
        <is>
          <t>أحمد فهمي</t>
        </is>
      </c>
      <c r="J347" s="20" t="inlineStr">
        <is>
          <t>روكي</t>
        </is>
      </c>
      <c r="K347" s="20" t="inlineStr"/>
      <c r="L347">
        <f>IF(B347="","",IF(LEFT(TRIM(B347),2)="ال",MID(TRIM(B347),3,1),LEFT(TRIM(B347),1)))</f>
        <v/>
      </c>
      <c r="M347">
        <f>IF(B347="","",LEN(TRIM(B347))-LEN(SUBSTITUTE(TRIM(B347)," ",""))+1)</f>
        <v/>
      </c>
      <c r="N347" t="inlineStr">
        <is>
          <t>Draft</t>
        </is>
      </c>
    </row>
    <row r="348">
      <c r="A348" t="n">
        <v>347</v>
      </c>
      <c r="B348" s="20" t="inlineStr">
        <is>
          <t>حريم كريم</t>
        </is>
      </c>
      <c r="C348" s="20" t="inlineStr">
        <is>
          <t>7areem Karim</t>
        </is>
      </c>
      <c r="D348" s="20" t="inlineStr">
        <is>
          <t>Film</t>
        </is>
      </c>
      <c r="E348" s="20" t="n">
        <v>2005</v>
      </c>
      <c r="F348">
        <f>IF(E348="","",IF(E348&lt;1970,"Abyad w eswed",IF(E348&lt;2000,"70s-90s",IF(E348&lt;2015,"2000s","Gedeed"))))</f>
        <v/>
      </c>
      <c r="G348" s="20" t="inlineStr">
        <is>
          <t>Wasat</t>
        </is>
      </c>
      <c r="H348" s="20" t="inlineStr">
        <is>
          <t>Comedy</t>
        </is>
      </c>
      <c r="I348" s="20" t="inlineStr">
        <is>
          <t>مصطفى قمر</t>
        </is>
      </c>
      <c r="J348" s="20" t="inlineStr">
        <is>
          <t>كريم</t>
        </is>
      </c>
      <c r="K348" s="20" t="inlineStr"/>
      <c r="L348">
        <f>IF(B348="","",IF(LEFT(TRIM(B348),2)="ال",MID(TRIM(B348),3,1),LEFT(TRIM(B348),1)))</f>
        <v/>
      </c>
      <c r="M348">
        <f>IF(B348="","",LEN(TRIM(B348))-LEN(SUBSTITUTE(TRIM(B348)," ",""))+1)</f>
        <v/>
      </c>
      <c r="N348" t="inlineStr">
        <is>
          <t>Draft</t>
        </is>
      </c>
    </row>
    <row r="349">
      <c r="A349" t="n">
        <v>348</v>
      </c>
      <c r="B349" s="20" t="inlineStr">
        <is>
          <t>رغدة متوحشة</t>
        </is>
      </c>
      <c r="C349" s="20" t="inlineStr">
        <is>
          <t>Raghda Metwa7sha</t>
        </is>
      </c>
      <c r="D349" s="20" t="inlineStr">
        <is>
          <t>Film</t>
        </is>
      </c>
      <c r="E349" s="20" t="n">
        <v>2018</v>
      </c>
      <c r="F349">
        <f>IF(E349="","",IF(E349&lt;1970,"Abyad w eswed",IF(E349&lt;2000,"70s-90s",IF(E349&lt;2015,"2000s","Gedeed"))))</f>
        <v/>
      </c>
      <c r="G349" s="20" t="inlineStr">
        <is>
          <t>Wasat</t>
        </is>
      </c>
      <c r="H349" s="20" t="inlineStr">
        <is>
          <t>Comedy</t>
        </is>
      </c>
      <c r="I349" s="20" t="inlineStr">
        <is>
          <t>رامز جلال</t>
        </is>
      </c>
      <c r="J349" s="20" t="inlineStr">
        <is>
          <t>رغدة</t>
        </is>
      </c>
      <c r="K349" s="20" t="inlineStr"/>
      <c r="L349">
        <f>IF(B349="","",IF(LEFT(TRIM(B349),2)="ال",MID(TRIM(B349),3,1),LEFT(TRIM(B349),1)))</f>
        <v/>
      </c>
      <c r="M349">
        <f>IF(B349="","",LEN(TRIM(B349))-LEN(SUBSTITUTE(TRIM(B349)," ",""))+1)</f>
        <v/>
      </c>
      <c r="N349" t="inlineStr">
        <is>
          <t>Draft</t>
        </is>
      </c>
    </row>
    <row r="350">
      <c r="A350" t="n">
        <v>349</v>
      </c>
      <c r="B350" s="20" t="inlineStr">
        <is>
          <t>من أجل زيكو</t>
        </is>
      </c>
      <c r="C350" s="20" t="inlineStr">
        <is>
          <t>Men Agl Zico</t>
        </is>
      </c>
      <c r="D350" s="20" t="inlineStr">
        <is>
          <t>Film</t>
        </is>
      </c>
      <c r="E350" s="20" t="n">
        <v>2022</v>
      </c>
      <c r="F350">
        <f>IF(E350="","",IF(E350&lt;1970,"Abyad w eswed",IF(E350&lt;2000,"70s-90s",IF(E350&lt;2015,"2000s","Gedeed"))))</f>
        <v/>
      </c>
      <c r="G350" s="20" t="inlineStr">
        <is>
          <t>Sa3b</t>
        </is>
      </c>
      <c r="H350" s="20" t="inlineStr">
        <is>
          <t>Comedy</t>
        </is>
      </c>
      <c r="I350" s="20" t="inlineStr">
        <is>
          <t>منى زكي</t>
        </is>
      </c>
      <c r="J350" s="20" t="inlineStr">
        <is>
          <t>زيكو</t>
        </is>
      </c>
      <c r="K350" s="20" t="inlineStr"/>
      <c r="L350">
        <f>IF(B350="","",IF(LEFT(TRIM(B350),2)="ال",MID(TRIM(B350),3,1),LEFT(TRIM(B350),1)))</f>
        <v/>
      </c>
      <c r="M350">
        <f>IF(B350="","",LEN(TRIM(B350))-LEN(SUBSTITUTE(TRIM(B350)," ",""))+1)</f>
        <v/>
      </c>
      <c r="N350" t="inlineStr">
        <is>
          <t>Draft</t>
        </is>
      </c>
    </row>
    <row r="351">
      <c r="A351" t="n">
        <v>350</v>
      </c>
      <c r="B351" s="20" t="inlineStr">
        <is>
          <t>يا أنا يا خالتي</t>
        </is>
      </c>
      <c r="C351" s="20" t="inlineStr">
        <is>
          <t>Ya Ana ya Khalty</t>
        </is>
      </c>
      <c r="D351" s="20" t="inlineStr">
        <is>
          <t>Film</t>
        </is>
      </c>
      <c r="E351" s="20" t="n">
        <v>2005</v>
      </c>
      <c r="F351">
        <f>IF(E351="","",IF(E351&lt;1970,"Abyad w eswed",IF(E351&lt;2000,"70s-90s",IF(E351&lt;2015,"2000s","Gedeed"))))</f>
        <v/>
      </c>
      <c r="G351" s="20" t="inlineStr">
        <is>
          <t>Wasat</t>
        </is>
      </c>
      <c r="H351" s="20" t="inlineStr">
        <is>
          <t>Comedy</t>
        </is>
      </c>
      <c r="I351" s="20" t="inlineStr">
        <is>
          <t>محمد هنيدي</t>
        </is>
      </c>
      <c r="J351" s="20" t="inlineStr"/>
      <c r="K351" s="20" t="inlineStr"/>
      <c r="L351">
        <f>IF(B351="","",IF(LEFT(TRIM(B351),2)="ال",MID(TRIM(B351),3,1),LEFT(TRIM(B351),1)))</f>
        <v/>
      </c>
      <c r="M351">
        <f>IF(B351="","",LEN(TRIM(B351))-LEN(SUBSTITUTE(TRIM(B351)," ",""))+1)</f>
        <v/>
      </c>
      <c r="N351" t="inlineStr">
        <is>
          <t>Draft</t>
        </is>
      </c>
    </row>
    <row r="352">
      <c r="A352" t="n">
        <v>351</v>
      </c>
      <c r="B352" s="20" t="inlineStr">
        <is>
          <t>تيتة رهيبة</t>
        </is>
      </c>
      <c r="C352" s="20" t="inlineStr">
        <is>
          <t>Teta Rahiba</t>
        </is>
      </c>
      <c r="D352" s="20" t="inlineStr">
        <is>
          <t>Film</t>
        </is>
      </c>
      <c r="E352" s="20" t="n">
        <v>2012</v>
      </c>
      <c r="F352">
        <f>IF(E352="","",IF(E352&lt;1970,"Abyad w eswed",IF(E352&lt;2000,"70s-90s",IF(E352&lt;2015,"2000s","Gedeed"))))</f>
        <v/>
      </c>
      <c r="G352" s="20" t="inlineStr">
        <is>
          <t>Wasat</t>
        </is>
      </c>
      <c r="H352" s="20" t="inlineStr">
        <is>
          <t>Comedy</t>
        </is>
      </c>
      <c r="I352" s="20" t="inlineStr">
        <is>
          <t>محمد هنيدي</t>
        </is>
      </c>
      <c r="J352" s="20" t="inlineStr"/>
      <c r="K352" s="20" t="inlineStr"/>
      <c r="L352">
        <f>IF(B352="","",IF(LEFT(TRIM(B352),2)="ال",MID(TRIM(B352),3,1),LEFT(TRIM(B352),1)))</f>
        <v/>
      </c>
      <c r="M352">
        <f>IF(B352="","",LEN(TRIM(B352))-LEN(SUBSTITUTE(TRIM(B352)," ",""))+1)</f>
        <v/>
      </c>
      <c r="N352" t="inlineStr">
        <is>
          <t>Draft</t>
        </is>
      </c>
    </row>
    <row r="353">
      <c r="A353" t="n">
        <v>352</v>
      </c>
      <c r="B353" s="20" t="inlineStr">
        <is>
          <t>يوم مالوش لازمة</t>
        </is>
      </c>
      <c r="C353" s="20" t="inlineStr">
        <is>
          <t>Youm Malosh Lazma</t>
        </is>
      </c>
      <c r="D353" s="20" t="inlineStr">
        <is>
          <t>Film</t>
        </is>
      </c>
      <c r="E353" s="20" t="n">
        <v>2015</v>
      </c>
      <c r="F353">
        <f>IF(E353="","",IF(E353&lt;1970,"Abyad w eswed",IF(E353&lt;2000,"70s-90s",IF(E353&lt;2015,"2000s","Gedeed"))))</f>
        <v/>
      </c>
      <c r="G353" s="20" t="inlineStr">
        <is>
          <t>Wasat</t>
        </is>
      </c>
      <c r="H353" s="20" t="inlineStr">
        <is>
          <t>Comedy</t>
        </is>
      </c>
      <c r="I353" s="20" t="inlineStr">
        <is>
          <t>محمد هنيدي</t>
        </is>
      </c>
      <c r="J353" s="20" t="inlineStr"/>
      <c r="K353" s="20" t="inlineStr"/>
      <c r="L353">
        <f>IF(B353="","",IF(LEFT(TRIM(B353),2)="ال",MID(TRIM(B353),3,1),LEFT(TRIM(B353),1)))</f>
        <v/>
      </c>
      <c r="M353">
        <f>IF(B353="","",LEN(TRIM(B353))-LEN(SUBSTITUTE(TRIM(B353)," ",""))+1)</f>
        <v/>
      </c>
      <c r="N353" t="inlineStr">
        <is>
          <t>Draft</t>
        </is>
      </c>
    </row>
    <row r="354">
      <c r="A354" t="n">
        <v>353</v>
      </c>
      <c r="B354" s="20" t="inlineStr">
        <is>
          <t>الإنس والنمس</t>
        </is>
      </c>
      <c r="C354" s="20" t="inlineStr">
        <is>
          <t>El Ens wel Nems</t>
        </is>
      </c>
      <c r="D354" s="20" t="inlineStr">
        <is>
          <t>Film</t>
        </is>
      </c>
      <c r="E354" s="20" t="n">
        <v>2021</v>
      </c>
      <c r="F354">
        <f>IF(E354="","",IF(E354&lt;1970,"Abyad w eswed",IF(E354&lt;2000,"70s-90s",IF(E354&lt;2015,"2000s","Gedeed"))))</f>
        <v/>
      </c>
      <c r="G354" s="20" t="inlineStr">
        <is>
          <t>Wasat</t>
        </is>
      </c>
      <c r="H354" s="20" t="inlineStr">
        <is>
          <t>Comedy</t>
        </is>
      </c>
      <c r="I354" s="20" t="inlineStr">
        <is>
          <t>محمد هنيدي</t>
        </is>
      </c>
      <c r="J354" s="20" t="inlineStr"/>
      <c r="K354" s="20" t="inlineStr"/>
      <c r="L354">
        <f>IF(B354="","",IF(LEFT(TRIM(B354),2)="ال",MID(TRIM(B354),3,1),LEFT(TRIM(B354),1)))</f>
        <v/>
      </c>
      <c r="M354">
        <f>IF(B354="","",LEN(TRIM(B354))-LEN(SUBSTITUTE(TRIM(B354)," ",""))+1)</f>
        <v/>
      </c>
      <c r="N354" t="inlineStr">
        <is>
          <t>Draft</t>
        </is>
      </c>
    </row>
    <row r="355">
      <c r="A355" t="n">
        <v>354</v>
      </c>
      <c r="B355" s="20" t="inlineStr">
        <is>
          <t>الكنز</t>
        </is>
      </c>
      <c r="C355" s="20" t="inlineStr">
        <is>
          <t>El Kanz</t>
        </is>
      </c>
      <c r="D355" s="20" t="inlineStr">
        <is>
          <t>Film</t>
        </is>
      </c>
      <c r="E355" s="20" t="n">
        <v>2017</v>
      </c>
      <c r="F355">
        <f>IF(E355="","",IF(E355&lt;1970,"Abyad w eswed",IF(E355&lt;2000,"70s-90s",IF(E355&lt;2015,"2000s","Gedeed"))))</f>
        <v/>
      </c>
      <c r="G355" s="20" t="inlineStr">
        <is>
          <t>Sa3b</t>
        </is>
      </c>
      <c r="H355" s="20" t="inlineStr">
        <is>
          <t>Ta2reekhy</t>
        </is>
      </c>
      <c r="I355" s="20" t="inlineStr">
        <is>
          <t>محمد سعد</t>
        </is>
      </c>
      <c r="J355" s="20" t="inlineStr"/>
      <c r="K355" s="20" t="inlineStr"/>
      <c r="L355">
        <f>IF(B355="","",IF(LEFT(TRIM(B355),2)="ال",MID(TRIM(B355),3,1),LEFT(TRIM(B355),1)))</f>
        <v/>
      </c>
      <c r="M355">
        <f>IF(B355="","",LEN(TRIM(B355))-LEN(SUBSTITUTE(TRIM(B355)," ",""))+1)</f>
        <v/>
      </c>
      <c r="N355" t="inlineStr">
        <is>
          <t>Draft</t>
        </is>
      </c>
    </row>
    <row r="356">
      <c r="A356" t="n">
        <v>355</v>
      </c>
      <c r="B356" s="20" t="inlineStr">
        <is>
          <t>تك تك بوم</t>
        </is>
      </c>
      <c r="C356" s="20" t="inlineStr">
        <is>
          <t>Tik Tak Boom</t>
        </is>
      </c>
      <c r="D356" s="20" t="inlineStr">
        <is>
          <t>Film</t>
        </is>
      </c>
      <c r="E356" s="20" t="n">
        <v>2011</v>
      </c>
      <c r="F356">
        <f>IF(E356="","",IF(E356&lt;1970,"Abyad w eswed",IF(E356&lt;2000,"70s-90s",IF(E356&lt;2015,"2000s","Gedeed"))))</f>
        <v/>
      </c>
      <c r="G356" s="20" t="inlineStr">
        <is>
          <t>Wasat</t>
        </is>
      </c>
      <c r="H356" s="20" t="inlineStr">
        <is>
          <t>Comedy</t>
        </is>
      </c>
      <c r="I356" s="20" t="inlineStr">
        <is>
          <t>محمد سعد</t>
        </is>
      </c>
      <c r="J356" s="20" t="inlineStr"/>
      <c r="K356" s="20" t="inlineStr"/>
      <c r="L356">
        <f>IF(B356="","",IF(LEFT(TRIM(B356),2)="ال",MID(TRIM(B356),3,1),LEFT(TRIM(B356),1)))</f>
        <v/>
      </c>
      <c r="M356">
        <f>IF(B356="","",LEN(TRIM(B356))-LEN(SUBSTITUTE(TRIM(B356)," ",""))+1)</f>
        <v/>
      </c>
      <c r="N356" t="inlineStr">
        <is>
          <t>Draft</t>
        </is>
      </c>
    </row>
    <row r="357">
      <c r="A357" t="n">
        <v>356</v>
      </c>
      <c r="B357" s="20" t="inlineStr">
        <is>
          <t>حياتي مبهدلة</t>
        </is>
      </c>
      <c r="C357" s="20" t="inlineStr">
        <is>
          <t>7ayaty Mbahdela</t>
        </is>
      </c>
      <c r="D357" s="20" t="inlineStr">
        <is>
          <t>Film</t>
        </is>
      </c>
      <c r="E357" s="20" t="n">
        <v>2015</v>
      </c>
      <c r="F357">
        <f>IF(E357="","",IF(E357&lt;1970,"Abyad w eswed",IF(E357&lt;2000,"70s-90s",IF(E357&lt;2015,"2000s","Gedeed"))))</f>
        <v/>
      </c>
      <c r="G357" s="20" t="inlineStr">
        <is>
          <t>Sa3b</t>
        </is>
      </c>
      <c r="H357" s="20" t="inlineStr">
        <is>
          <t>Comedy</t>
        </is>
      </c>
      <c r="I357" s="20" t="inlineStr">
        <is>
          <t>محمد سعد</t>
        </is>
      </c>
      <c r="J357" s="20" t="inlineStr"/>
      <c r="K357" s="20" t="inlineStr"/>
      <c r="L357">
        <f>IF(B357="","",IF(LEFT(TRIM(B357),2)="ال",MID(TRIM(B357),3,1),LEFT(TRIM(B357),1)))</f>
        <v/>
      </c>
      <c r="M357">
        <f>IF(B357="","",LEN(TRIM(B357))-LEN(SUBSTITUTE(TRIM(B357)," ",""))+1)</f>
        <v/>
      </c>
      <c r="N357" t="inlineStr">
        <is>
          <t>Draft</t>
        </is>
      </c>
    </row>
    <row r="358">
      <c r="A358" t="n">
        <v>357</v>
      </c>
      <c r="B358" s="20" t="inlineStr">
        <is>
          <t>محمد حسين</t>
        </is>
      </c>
      <c r="C358" s="20" t="inlineStr">
        <is>
          <t>Mohamed Hussein</t>
        </is>
      </c>
      <c r="D358" s="20" t="inlineStr">
        <is>
          <t>Film</t>
        </is>
      </c>
      <c r="E358" s="20" t="n">
        <v>2019</v>
      </c>
      <c r="F358">
        <f>IF(E358="","",IF(E358&lt;1970,"Abyad w eswed",IF(E358&lt;2000,"70s-90s",IF(E358&lt;2015,"2000s","Gedeed"))))</f>
        <v/>
      </c>
      <c r="G358" s="20" t="inlineStr">
        <is>
          <t>Sa3b</t>
        </is>
      </c>
      <c r="H358" s="20" t="inlineStr">
        <is>
          <t>Comedy</t>
        </is>
      </c>
      <c r="I358" s="20" t="inlineStr">
        <is>
          <t>محمد سعد</t>
        </is>
      </c>
      <c r="J358" s="20" t="inlineStr"/>
      <c r="K358" s="20" t="inlineStr"/>
      <c r="L358">
        <f>IF(B358="","",IF(LEFT(TRIM(B358),2)="ال",MID(TRIM(B358),3,1),LEFT(TRIM(B358),1)))</f>
        <v/>
      </c>
      <c r="M358">
        <f>IF(B358="","",LEN(TRIM(B358))-LEN(SUBSTITUTE(TRIM(B358)," ",""))+1)</f>
        <v/>
      </c>
      <c r="N358" t="inlineStr">
        <is>
          <t>Draft</t>
        </is>
      </c>
    </row>
    <row r="359">
      <c r="A359" t="n">
        <v>358</v>
      </c>
      <c r="B359" s="20" t="inlineStr">
        <is>
          <t>تحت الترابيزة</t>
        </is>
      </c>
      <c r="C359" s="20" t="inlineStr">
        <is>
          <t>Ta7t el Tarabeeza</t>
        </is>
      </c>
      <c r="D359" s="20" t="inlineStr">
        <is>
          <t>Film</t>
        </is>
      </c>
      <c r="E359" s="20" t="n">
        <v>2016</v>
      </c>
      <c r="F359">
        <f>IF(E359="","",IF(E359&lt;1970,"Abyad w eswed",IF(E359&lt;2000,"70s-90s",IF(E359&lt;2015,"2000s","Gedeed"))))</f>
        <v/>
      </c>
      <c r="G359" s="20" t="inlineStr">
        <is>
          <t>Sa3b</t>
        </is>
      </c>
      <c r="H359" s="20" t="inlineStr">
        <is>
          <t>Comedy</t>
        </is>
      </c>
      <c r="I359" s="20" t="inlineStr">
        <is>
          <t>محمد سعد</t>
        </is>
      </c>
      <c r="J359" s="20" t="inlineStr"/>
      <c r="K359" s="20" t="inlineStr"/>
      <c r="L359">
        <f>IF(B359="","",IF(LEFT(TRIM(B359),2)="ال",MID(TRIM(B359),3,1),LEFT(TRIM(B359),1)))</f>
        <v/>
      </c>
      <c r="M359">
        <f>IF(B359="","",LEN(TRIM(B359))-LEN(SUBSTITUTE(TRIM(B359)," ",""))+1)</f>
        <v/>
      </c>
      <c r="N359" t="inlineStr">
        <is>
          <t>Draft</t>
        </is>
      </c>
    </row>
    <row r="360">
      <c r="A360" t="n">
        <v>359</v>
      </c>
      <c r="B360" s="20" t="inlineStr">
        <is>
          <t>الدشاش</t>
        </is>
      </c>
      <c r="C360" s="20" t="inlineStr">
        <is>
          <t>El Dashash</t>
        </is>
      </c>
      <c r="D360" s="20" t="inlineStr">
        <is>
          <t>Film</t>
        </is>
      </c>
      <c r="E360" s="20" t="n">
        <v>2025</v>
      </c>
      <c r="F360">
        <f>IF(E360="","",IF(E360&lt;1970,"Abyad w eswed",IF(E360&lt;2000,"70s-90s",IF(E360&lt;2015,"2000s","Gedeed"))))</f>
        <v/>
      </c>
      <c r="G360" s="20" t="inlineStr">
        <is>
          <t>Wasat</t>
        </is>
      </c>
      <c r="H360" s="20" t="inlineStr">
        <is>
          <t>Action</t>
        </is>
      </c>
      <c r="I360" s="20" t="inlineStr">
        <is>
          <t>محمد سعد</t>
        </is>
      </c>
      <c r="J360" s="20" t="inlineStr"/>
      <c r="K360" s="20" t="inlineStr"/>
      <c r="L360">
        <f>IF(B360="","",IF(LEFT(TRIM(B360),2)="ال",MID(TRIM(B360),3,1),LEFT(TRIM(B360),1)))</f>
        <v/>
      </c>
      <c r="M360">
        <f>IF(B360="","",LEN(TRIM(B360))-LEN(SUBSTITUTE(TRIM(B360)," ",""))+1)</f>
        <v/>
      </c>
      <c r="N360" t="inlineStr">
        <is>
          <t>Draft</t>
        </is>
      </c>
    </row>
    <row r="361">
      <c r="A361" t="n">
        <v>360</v>
      </c>
      <c r="B361" s="20" t="inlineStr">
        <is>
          <t>عن العشق والهوى</t>
        </is>
      </c>
      <c r="C361" s="20" t="inlineStr">
        <is>
          <t>3an el 3eshq wel Hawa</t>
        </is>
      </c>
      <c r="D361" s="20" t="inlineStr">
        <is>
          <t>Film</t>
        </is>
      </c>
      <c r="E361" s="20" t="n">
        <v>2006</v>
      </c>
      <c r="F361">
        <f>IF(E361="","",IF(E361&lt;1970,"Abyad w eswed",IF(E361&lt;2000,"70s-90s",IF(E361&lt;2015,"2000s","Gedeed"))))</f>
        <v/>
      </c>
      <c r="G361" s="20" t="inlineStr">
        <is>
          <t>Sa3b</t>
        </is>
      </c>
      <c r="H361" s="20" t="inlineStr">
        <is>
          <t>Romance</t>
        </is>
      </c>
      <c r="I361" s="20" t="inlineStr">
        <is>
          <t>أحمد السقا</t>
        </is>
      </c>
      <c r="J361" s="20" t="inlineStr"/>
      <c r="K361" s="20" t="inlineStr"/>
      <c r="L361">
        <f>IF(B361="","",IF(LEFT(TRIM(B361),2)="ال",MID(TRIM(B361),3,1),LEFT(TRIM(B361),1)))</f>
        <v/>
      </c>
      <c r="M361">
        <f>IF(B361="","",LEN(TRIM(B361))-LEN(SUBSTITUTE(TRIM(B361)," ",""))+1)</f>
        <v/>
      </c>
      <c r="N361" t="inlineStr">
        <is>
          <t>Draft</t>
        </is>
      </c>
    </row>
    <row r="362">
      <c r="A362" t="n">
        <v>361</v>
      </c>
      <c r="B362" s="20" t="inlineStr">
        <is>
          <t>من 30 سنة</t>
        </is>
      </c>
      <c r="C362" s="20" t="inlineStr">
        <is>
          <t>Men 30 Sana</t>
        </is>
      </c>
      <c r="D362" s="20" t="inlineStr">
        <is>
          <t>Film</t>
        </is>
      </c>
      <c r="E362" s="20" t="n">
        <v>2016</v>
      </c>
      <c r="F362">
        <f>IF(E362="","",IF(E362&lt;1970,"Abyad w eswed",IF(E362&lt;2000,"70s-90s",IF(E362&lt;2015,"2000s","Gedeed"))))</f>
        <v/>
      </c>
      <c r="G362" s="20" t="inlineStr">
        <is>
          <t>Sa3b</t>
        </is>
      </c>
      <c r="H362" s="20" t="inlineStr">
        <is>
          <t>Drama</t>
        </is>
      </c>
      <c r="I362" s="20" t="inlineStr">
        <is>
          <t>أحمد السقا</t>
        </is>
      </c>
      <c r="J362" s="20" t="inlineStr"/>
      <c r="K362" s="20" t="inlineStr"/>
      <c r="L362">
        <f>IF(B362="","",IF(LEFT(TRIM(B362),2)="ال",MID(TRIM(B362),3,1),LEFT(TRIM(B362),1)))</f>
        <v/>
      </c>
      <c r="M362">
        <f>IF(B362="","",LEN(TRIM(B362))-LEN(SUBSTITUTE(TRIM(B362)," ",""))+1)</f>
        <v/>
      </c>
      <c r="N362" t="inlineStr">
        <is>
          <t>Draft</t>
        </is>
      </c>
    </row>
    <row r="363">
      <c r="A363" t="n">
        <v>362</v>
      </c>
      <c r="B363" s="20" t="inlineStr">
        <is>
          <t>العنكبوت</t>
        </is>
      </c>
      <c r="C363" s="20" t="inlineStr">
        <is>
          <t>El 3ankaboot</t>
        </is>
      </c>
      <c r="D363" s="20" t="inlineStr">
        <is>
          <t>Film</t>
        </is>
      </c>
      <c r="E363" s="20" t="n">
        <v>2022</v>
      </c>
      <c r="F363">
        <f>IF(E363="","",IF(E363&lt;1970,"Abyad w eswed",IF(E363&lt;2000,"70s-90s",IF(E363&lt;2015,"2000s","Gedeed"))))</f>
        <v/>
      </c>
      <c r="G363" s="20" t="inlineStr">
        <is>
          <t>Wasat</t>
        </is>
      </c>
      <c r="H363" s="20" t="inlineStr">
        <is>
          <t>Action</t>
        </is>
      </c>
      <c r="I363" s="20" t="inlineStr">
        <is>
          <t>أحمد السقا</t>
        </is>
      </c>
      <c r="J363" s="20" t="inlineStr"/>
      <c r="K363" s="20" t="inlineStr"/>
      <c r="L363">
        <f>IF(B363="","",IF(LEFT(TRIM(B363),2)="ال",MID(TRIM(B363),3,1),LEFT(TRIM(B363),1)))</f>
        <v/>
      </c>
      <c r="M363">
        <f>IF(B363="","",LEN(TRIM(B363))-LEN(SUBSTITUTE(TRIM(B363)," ",""))+1)</f>
        <v/>
      </c>
      <c r="N363" t="inlineStr">
        <is>
          <t>Draft</t>
        </is>
      </c>
    </row>
    <row r="364">
      <c r="A364" t="n">
        <v>363</v>
      </c>
      <c r="B364" s="20" t="inlineStr">
        <is>
          <t>أحمد وأحمد</t>
        </is>
      </c>
      <c r="C364" s="20" t="inlineStr">
        <is>
          <t>A7med w A7med</t>
        </is>
      </c>
      <c r="D364" s="20" t="inlineStr">
        <is>
          <t>Film</t>
        </is>
      </c>
      <c r="E364" s="20" t="n">
        <v>2025</v>
      </c>
      <c r="F364">
        <f>IF(E364="","",IF(E364&lt;1970,"Abyad w eswed",IF(E364&lt;2000,"70s-90s",IF(E364&lt;2015,"2000s","Gedeed"))))</f>
        <v/>
      </c>
      <c r="G364" s="20" t="inlineStr">
        <is>
          <t>Wasat</t>
        </is>
      </c>
      <c r="H364" s="20" t="inlineStr">
        <is>
          <t>Comedy</t>
        </is>
      </c>
      <c r="I364" s="20" t="inlineStr">
        <is>
          <t>أحمد السقا</t>
        </is>
      </c>
      <c r="J364" s="20" t="inlineStr"/>
      <c r="K364" s="20" t="inlineStr"/>
      <c r="L364">
        <f>IF(B364="","",IF(LEFT(TRIM(B364),2)="ال",MID(TRIM(B364),3,1),LEFT(TRIM(B364),1)))</f>
        <v/>
      </c>
      <c r="M364">
        <f>IF(B364="","",LEN(TRIM(B364))-LEN(SUBSTITUTE(TRIM(B364)," ",""))+1)</f>
        <v/>
      </c>
      <c r="N364" t="inlineStr">
        <is>
          <t>Draft</t>
        </is>
      </c>
    </row>
    <row r="365">
      <c r="A365" t="n">
        <v>364</v>
      </c>
      <c r="B365" s="20" t="inlineStr">
        <is>
          <t>سوق الجمعة</t>
        </is>
      </c>
      <c r="C365" s="20" t="inlineStr">
        <is>
          <t>Sou2 el Gom3a</t>
        </is>
      </c>
      <c r="D365" s="20" t="inlineStr">
        <is>
          <t>Film</t>
        </is>
      </c>
      <c r="E365" s="20" t="n">
        <v>2018</v>
      </c>
      <c r="F365">
        <f>IF(E365="","",IF(E365&lt;1970,"Abyad w eswed",IF(E365&lt;2000,"70s-90s",IF(E365&lt;2015,"2000s","Gedeed"))))</f>
        <v/>
      </c>
      <c r="G365" s="20" t="inlineStr">
        <is>
          <t>Sa3b</t>
        </is>
      </c>
      <c r="H365" s="20" t="inlineStr">
        <is>
          <t>Drama</t>
        </is>
      </c>
      <c r="I365" s="20" t="inlineStr">
        <is>
          <t>عمرو عبد الجليل</t>
        </is>
      </c>
      <c r="J365" s="20" t="inlineStr"/>
      <c r="K365" s="20" t="inlineStr"/>
      <c r="L365">
        <f>IF(B365="","",IF(LEFT(TRIM(B365),2)="ال",MID(TRIM(B365),3,1),LEFT(TRIM(B365),1)))</f>
        <v/>
      </c>
      <c r="M365">
        <f>IF(B365="","",LEN(TRIM(B365))-LEN(SUBSTITUTE(TRIM(B365)," ",""))+1)</f>
        <v/>
      </c>
      <c r="N365" t="inlineStr">
        <is>
          <t>Draft</t>
        </is>
      </c>
    </row>
    <row r="366">
      <c r="A366" t="n">
        <v>365</v>
      </c>
      <c r="B366" s="20" t="inlineStr">
        <is>
          <t>السلم والثعبان 2</t>
        </is>
      </c>
      <c r="C366" s="20" t="inlineStr">
        <is>
          <t>El Sellem wel To3ban 2</t>
        </is>
      </c>
      <c r="D366" s="20" t="inlineStr">
        <is>
          <t>Film</t>
        </is>
      </c>
      <c r="E366" s="20" t="n">
        <v>2024</v>
      </c>
      <c r="F366">
        <f>IF(E366="","",IF(E366&lt;1970,"Abyad w eswed",IF(E366&lt;2000,"70s-90s",IF(E366&lt;2015,"2000s","Gedeed"))))</f>
        <v/>
      </c>
      <c r="G366" s="20" t="inlineStr">
        <is>
          <t>Wasat</t>
        </is>
      </c>
      <c r="H366" s="20" t="inlineStr">
        <is>
          <t>Romance</t>
        </is>
      </c>
      <c r="I366" s="20" t="inlineStr">
        <is>
          <t>عمرو يوسف</t>
        </is>
      </c>
      <c r="J366" s="20" t="inlineStr"/>
      <c r="K366" s="20" t="inlineStr"/>
      <c r="L366">
        <f>IF(B366="","",IF(LEFT(TRIM(B366),2)="ال",MID(TRIM(B366),3,1),LEFT(TRIM(B366),1)))</f>
        <v/>
      </c>
      <c r="M366">
        <f>IF(B366="","",LEN(TRIM(B366))-LEN(SUBSTITUTE(TRIM(B366)," ",""))+1)</f>
        <v/>
      </c>
      <c r="N366" t="inlineStr">
        <is>
          <t>Draft</t>
        </is>
      </c>
    </row>
    <row r="367">
      <c r="A367" t="n">
        <v>366</v>
      </c>
      <c r="B367" s="20" t="inlineStr">
        <is>
          <t>أشباح أوروبا</t>
        </is>
      </c>
      <c r="C367" s="20" t="inlineStr">
        <is>
          <t>Ashba7 Europa</t>
        </is>
      </c>
      <c r="D367" s="20" t="inlineStr">
        <is>
          <t>Film</t>
        </is>
      </c>
      <c r="E367" s="20" t="n">
        <v>2023</v>
      </c>
      <c r="F367">
        <f>IF(E367="","",IF(E367&lt;1970,"Abyad w eswed",IF(E367&lt;2000,"70s-90s",IF(E367&lt;2015,"2000s","Gedeed"))))</f>
        <v/>
      </c>
      <c r="G367" s="20" t="inlineStr">
        <is>
          <t>Wasat</t>
        </is>
      </c>
      <c r="H367" s="20" t="inlineStr">
        <is>
          <t>Comedy</t>
        </is>
      </c>
      <c r="I367" s="20" t="inlineStr">
        <is>
          <t>هيفاء وهبي</t>
        </is>
      </c>
      <c r="J367" s="20" t="inlineStr"/>
      <c r="K367" s="20" t="inlineStr"/>
      <c r="L367">
        <f>IF(B367="","",IF(LEFT(TRIM(B367),2)="ال",MID(TRIM(B367),3,1),LEFT(TRIM(B367),1)))</f>
        <v/>
      </c>
      <c r="M367">
        <f>IF(B367="","",LEN(TRIM(B367))-LEN(SUBSTITUTE(TRIM(B367)," ",""))+1)</f>
        <v/>
      </c>
      <c r="N367" t="inlineStr">
        <is>
          <t>Draft</t>
        </is>
      </c>
    </row>
    <row r="368">
      <c r="A368" t="n">
        <v>367</v>
      </c>
      <c r="B368" s="20" t="inlineStr">
        <is>
          <t>السيد أبو العربي وصل</t>
        </is>
      </c>
      <c r="C368" s="20" t="inlineStr">
        <is>
          <t>El Sayed Abu el 3araby Wesel</t>
        </is>
      </c>
      <c r="D368" s="20" t="inlineStr">
        <is>
          <t>Film</t>
        </is>
      </c>
      <c r="E368" s="20" t="n">
        <v>2005</v>
      </c>
      <c r="F368">
        <f>IF(E368="","",IF(E368&lt;1970,"Abyad w eswed",IF(E368&lt;2000,"70s-90s",IF(E368&lt;2015,"2000s","Gedeed"))))</f>
        <v/>
      </c>
      <c r="G368" s="20" t="inlineStr">
        <is>
          <t>Sa3b</t>
        </is>
      </c>
      <c r="H368" s="20" t="inlineStr">
        <is>
          <t>Comedy</t>
        </is>
      </c>
      <c r="I368" s="20" t="inlineStr">
        <is>
          <t>هاني رمزي</t>
        </is>
      </c>
      <c r="J368" s="20" t="inlineStr"/>
      <c r="K368" s="20" t="inlineStr"/>
      <c r="L368">
        <f>IF(B368="","",IF(LEFT(TRIM(B368),2)="ال",MID(TRIM(B368),3,1),LEFT(TRIM(B368),1)))</f>
        <v/>
      </c>
      <c r="M368">
        <f>IF(B368="","",LEN(TRIM(B368))-LEN(SUBSTITUTE(TRIM(B368)," ",""))+1)</f>
        <v/>
      </c>
      <c r="N368" t="inlineStr">
        <is>
          <t>Draft</t>
        </is>
      </c>
    </row>
    <row r="369">
      <c r="A369" t="n">
        <v>368</v>
      </c>
      <c r="B369" s="20" t="inlineStr">
        <is>
          <t>أسد وأربع قطط</t>
        </is>
      </c>
      <c r="C369" s="20" t="inlineStr">
        <is>
          <t>Asad w Arba3 2otat</t>
        </is>
      </c>
      <c r="D369" s="20" t="inlineStr">
        <is>
          <t>Film</t>
        </is>
      </c>
      <c r="E369" s="20" t="n">
        <v>2007</v>
      </c>
      <c r="F369">
        <f>IF(E369="","",IF(E369&lt;1970,"Abyad w eswed",IF(E369&lt;2000,"70s-90s",IF(E369&lt;2015,"2000s","Gedeed"))))</f>
        <v/>
      </c>
      <c r="G369" s="20" t="inlineStr">
        <is>
          <t>Sa3b</t>
        </is>
      </c>
      <c r="H369" s="20" t="inlineStr">
        <is>
          <t>Comedy</t>
        </is>
      </c>
      <c r="I369" s="20" t="inlineStr">
        <is>
          <t>هاني رمزي</t>
        </is>
      </c>
      <c r="J369" s="20" t="inlineStr"/>
      <c r="K369" s="20" t="inlineStr"/>
      <c r="L369">
        <f>IF(B369="","",IF(LEFT(TRIM(B369),2)="ال",MID(TRIM(B369),3,1),LEFT(TRIM(B369),1)))</f>
        <v/>
      </c>
      <c r="M369">
        <f>IF(B369="","",LEN(TRIM(B369))-LEN(SUBSTITUTE(TRIM(B369)," ",""))+1)</f>
        <v/>
      </c>
      <c r="N369" t="inlineStr">
        <is>
          <t>Draft</t>
        </is>
      </c>
    </row>
    <row r="370">
      <c r="A370" t="n">
        <v>369</v>
      </c>
      <c r="B370" s="20" t="inlineStr">
        <is>
          <t>نمس بوند</t>
        </is>
      </c>
      <c r="C370" s="20" t="inlineStr">
        <is>
          <t>Nems Bond</t>
        </is>
      </c>
      <c r="D370" s="20" t="inlineStr">
        <is>
          <t>Film</t>
        </is>
      </c>
      <c r="E370" s="20" t="n">
        <v>2008</v>
      </c>
      <c r="F370">
        <f>IF(E370="","",IF(E370&lt;1970,"Abyad w eswed",IF(E370&lt;2000,"70s-90s",IF(E370&lt;2015,"2000s","Gedeed"))))</f>
        <v/>
      </c>
      <c r="G370" s="20" t="inlineStr">
        <is>
          <t>Wasat</t>
        </is>
      </c>
      <c r="H370" s="20" t="inlineStr">
        <is>
          <t>Comedy</t>
        </is>
      </c>
      <c r="I370" s="20" t="inlineStr">
        <is>
          <t>هاني رمزي</t>
        </is>
      </c>
      <c r="J370" s="20" t="inlineStr"/>
      <c r="K370" s="20" t="inlineStr"/>
      <c r="L370">
        <f>IF(B370="","",IF(LEFT(TRIM(B370),2)="ال",MID(TRIM(B370),3,1),LEFT(TRIM(B370),1)))</f>
        <v/>
      </c>
      <c r="M370">
        <f>IF(B370="","",LEN(TRIM(B370))-LEN(SUBSTITUTE(TRIM(B370)," ",""))+1)</f>
        <v/>
      </c>
      <c r="N370" t="inlineStr">
        <is>
          <t>Draft</t>
        </is>
      </c>
    </row>
    <row r="371">
      <c r="A371" t="n">
        <v>370</v>
      </c>
      <c r="B371" s="20" t="inlineStr">
        <is>
          <t>الرجل الغامض بسلامته</t>
        </is>
      </c>
      <c r="C371" s="20" t="inlineStr">
        <is>
          <t>El Ragel el Ghamed Besalamto</t>
        </is>
      </c>
      <c r="D371" s="20" t="inlineStr">
        <is>
          <t>Film</t>
        </is>
      </c>
      <c r="E371" s="20" t="n">
        <v>2009</v>
      </c>
      <c r="F371">
        <f>IF(E371="","",IF(E371&lt;1970,"Abyad w eswed",IF(E371&lt;2000,"70s-90s",IF(E371&lt;2015,"2000s","Gedeed"))))</f>
        <v/>
      </c>
      <c r="G371" s="20" t="inlineStr">
        <is>
          <t>Wasat</t>
        </is>
      </c>
      <c r="H371" s="20" t="inlineStr">
        <is>
          <t>Comedy</t>
        </is>
      </c>
      <c r="I371" s="20" t="inlineStr">
        <is>
          <t>هاني رمزي</t>
        </is>
      </c>
      <c r="J371" s="20" t="inlineStr"/>
      <c r="K371" s="20" t="inlineStr"/>
      <c r="L371">
        <f>IF(B371="","",IF(LEFT(TRIM(B371),2)="ال",MID(TRIM(B371),3,1),LEFT(TRIM(B371),1)))</f>
        <v/>
      </c>
      <c r="M371">
        <f>IF(B371="","",LEN(TRIM(B371))-LEN(SUBSTITUTE(TRIM(B371)," ",""))+1)</f>
        <v/>
      </c>
      <c r="N371" t="inlineStr">
        <is>
          <t>Draft</t>
        </is>
      </c>
    </row>
    <row r="372">
      <c r="A372" t="n">
        <v>371</v>
      </c>
      <c r="B372" s="20" t="inlineStr">
        <is>
          <t>توم وجيمي</t>
        </is>
      </c>
      <c r="C372" s="20" t="inlineStr">
        <is>
          <t>Tom w Jimmy</t>
        </is>
      </c>
      <c r="D372" s="20" t="inlineStr">
        <is>
          <t>Film</t>
        </is>
      </c>
      <c r="E372" s="20" t="n">
        <v>2013</v>
      </c>
      <c r="F372">
        <f>IF(E372="","",IF(E372&lt;1970,"Abyad w eswed",IF(E372&lt;2000,"70s-90s",IF(E372&lt;2015,"2000s","Gedeed"))))</f>
        <v/>
      </c>
      <c r="G372" s="20" t="inlineStr">
        <is>
          <t>Sa3b</t>
        </is>
      </c>
      <c r="H372" s="20" t="inlineStr">
        <is>
          <t>Comedy</t>
        </is>
      </c>
      <c r="I372" s="20" t="inlineStr">
        <is>
          <t>هاني رمزي</t>
        </is>
      </c>
      <c r="J372" s="20" t="inlineStr"/>
      <c r="K372" s="20" t="inlineStr"/>
      <c r="L372">
        <f>IF(B372="","",IF(LEFT(TRIM(B372),2)="ال",MID(TRIM(B372),3,1),LEFT(TRIM(B372),1)))</f>
        <v/>
      </c>
      <c r="M372">
        <f>IF(B372="","",LEN(TRIM(B372))-LEN(SUBSTITUTE(TRIM(B372)," ",""))+1)</f>
        <v/>
      </c>
      <c r="N372" t="inlineStr">
        <is>
          <t>Draft</t>
        </is>
      </c>
    </row>
    <row r="373">
      <c r="A373" t="n">
        <v>372</v>
      </c>
      <c r="B373" s="20" t="inlineStr">
        <is>
          <t>خارج على القانون</t>
        </is>
      </c>
      <c r="C373" s="20" t="inlineStr">
        <is>
          <t>Khareg 3ala el Qanoon</t>
        </is>
      </c>
      <c r="D373" s="20" t="inlineStr">
        <is>
          <t>Film</t>
        </is>
      </c>
      <c r="E373" s="20" t="n">
        <v>2007</v>
      </c>
      <c r="F373">
        <f>IF(E373="","",IF(E373&lt;1970,"Abyad w eswed",IF(E373&lt;2000,"70s-90s",IF(E373&lt;2015,"2000s","Gedeed"))))</f>
        <v/>
      </c>
      <c r="G373" s="20" t="inlineStr">
        <is>
          <t>Sa3b</t>
        </is>
      </c>
      <c r="H373" s="20" t="inlineStr">
        <is>
          <t>Action</t>
        </is>
      </c>
      <c r="I373" s="20" t="inlineStr">
        <is>
          <t>كريم عبد العزيز</t>
        </is>
      </c>
      <c r="J373" s="20" t="inlineStr"/>
      <c r="K373" s="20" t="inlineStr"/>
      <c r="L373">
        <f>IF(B373="","",IF(LEFT(TRIM(B373),2)="ال",MID(TRIM(B373),3,1),LEFT(TRIM(B373),1)))</f>
        <v/>
      </c>
      <c r="M373">
        <f>IF(B373="","",LEN(TRIM(B373))-LEN(SUBSTITUTE(TRIM(B373)," ",""))+1)</f>
        <v/>
      </c>
      <c r="N373" t="inlineStr">
        <is>
          <t>Draft</t>
        </is>
      </c>
    </row>
    <row r="374">
      <c r="A374" t="n">
        <v>373</v>
      </c>
      <c r="B374" s="20" t="inlineStr">
        <is>
          <t>فاصل ونعود</t>
        </is>
      </c>
      <c r="C374" s="20" t="inlineStr">
        <is>
          <t>Fasel w Na3ood</t>
        </is>
      </c>
      <c r="D374" s="20" t="inlineStr">
        <is>
          <t>Film</t>
        </is>
      </c>
      <c r="E374" s="20" t="n">
        <v>2011</v>
      </c>
      <c r="F374">
        <f>IF(E374="","",IF(E374&lt;1970,"Abyad w eswed",IF(E374&lt;2000,"70s-90s",IF(E374&lt;2015,"2000s","Gedeed"))))</f>
        <v/>
      </c>
      <c r="G374" s="20" t="inlineStr">
        <is>
          <t>Wasat</t>
        </is>
      </c>
      <c r="H374" s="20" t="inlineStr">
        <is>
          <t>Comedy</t>
        </is>
      </c>
      <c r="I374" s="20" t="inlineStr">
        <is>
          <t>كريم عبد العزيز</t>
        </is>
      </c>
      <c r="J374" s="20" t="inlineStr"/>
      <c r="K374" s="20" t="inlineStr"/>
      <c r="L374">
        <f>IF(B374="","",IF(LEFT(TRIM(B374),2)="ال",MID(TRIM(B374),3,1),LEFT(TRIM(B374),1)))</f>
        <v/>
      </c>
      <c r="M374">
        <f>IF(B374="","",LEN(TRIM(B374))-LEN(SUBSTITUTE(TRIM(B374)," ",""))+1)</f>
        <v/>
      </c>
      <c r="N374" t="inlineStr">
        <is>
          <t>Draft</t>
        </is>
      </c>
    </row>
    <row r="375">
      <c r="A375" t="n">
        <v>374</v>
      </c>
      <c r="B375" s="20" t="inlineStr">
        <is>
          <t>البعض لا يذهب للمأذون مرتين</t>
        </is>
      </c>
      <c r="C375" s="20" t="inlineStr">
        <is>
          <t>El Ba3d La Yazhab lel Ma2zoon Marrateen</t>
        </is>
      </c>
      <c r="D375" s="20" t="inlineStr">
        <is>
          <t>Film</t>
        </is>
      </c>
      <c r="E375" s="20" t="n">
        <v>2021</v>
      </c>
      <c r="F375">
        <f>IF(E375="","",IF(E375&lt;1970,"Abyad w eswed",IF(E375&lt;2000,"70s-90s",IF(E375&lt;2015,"2000s","Gedeed"))))</f>
        <v/>
      </c>
      <c r="G375" s="20" t="inlineStr">
        <is>
          <t>Wasat</t>
        </is>
      </c>
      <c r="H375" s="20" t="inlineStr">
        <is>
          <t>Comedy</t>
        </is>
      </c>
      <c r="I375" s="20" t="inlineStr">
        <is>
          <t>كريم عبد العزيز</t>
        </is>
      </c>
      <c r="J375" s="20" t="inlineStr"/>
      <c r="K375" s="20" t="inlineStr"/>
      <c r="L375">
        <f>IF(B375="","",IF(LEFT(TRIM(B375),2)="ال",MID(TRIM(B375),3,1),LEFT(TRIM(B375),1)))</f>
        <v/>
      </c>
      <c r="M375">
        <f>IF(B375="","",LEN(TRIM(B375))-LEN(SUBSTITUTE(TRIM(B375)," ",""))+1)</f>
        <v/>
      </c>
      <c r="N375" t="inlineStr">
        <is>
          <t>Draft</t>
        </is>
      </c>
    </row>
    <row r="376">
      <c r="A376" t="n">
        <v>375</v>
      </c>
      <c r="B376" s="20" t="inlineStr">
        <is>
          <t>المشروع إكس</t>
        </is>
      </c>
      <c r="C376" s="20" t="inlineStr">
        <is>
          <t>El Mashroo3 X</t>
        </is>
      </c>
      <c r="D376" s="20" t="inlineStr">
        <is>
          <t>Film</t>
        </is>
      </c>
      <c r="E376" s="20" t="n">
        <v>2025</v>
      </c>
      <c r="F376">
        <f>IF(E376="","",IF(E376&lt;1970,"Abyad w eswed",IF(E376&lt;2000,"70s-90s",IF(E376&lt;2015,"2000s","Gedeed"))))</f>
        <v/>
      </c>
      <c r="G376" s="20" t="inlineStr">
        <is>
          <t>Wasat</t>
        </is>
      </c>
      <c r="H376" s="20" t="inlineStr">
        <is>
          <t>Action</t>
        </is>
      </c>
      <c r="I376" s="20" t="inlineStr">
        <is>
          <t>كريم عبد العزيز</t>
        </is>
      </c>
      <c r="J376" s="20" t="inlineStr"/>
      <c r="K376" s="20" t="inlineStr"/>
      <c r="L376">
        <f>IF(B376="","",IF(LEFT(TRIM(B376),2)="ال",MID(TRIM(B376),3,1),LEFT(TRIM(B376),1)))</f>
        <v/>
      </c>
      <c r="M376">
        <f>IF(B376="","",LEN(TRIM(B376))-LEN(SUBSTITUTE(TRIM(B376)," ",""))+1)</f>
        <v/>
      </c>
      <c r="N376" t="inlineStr">
        <is>
          <t>Draft</t>
        </is>
      </c>
    </row>
    <row r="377">
      <c r="A377" t="n">
        <v>376</v>
      </c>
      <c r="B377" s="20" t="inlineStr">
        <is>
          <t>الحريفة 2</t>
        </is>
      </c>
      <c r="C377" s="20" t="inlineStr">
        <is>
          <t>El 7areefa 2</t>
        </is>
      </c>
      <c r="D377" s="20" t="inlineStr">
        <is>
          <t>Film</t>
        </is>
      </c>
      <c r="E377" s="20" t="n">
        <v>2025</v>
      </c>
      <c r="F377">
        <f>IF(E377="","",IF(E377&lt;1970,"Abyad w eswed",IF(E377&lt;2000,"70s-90s",IF(E377&lt;2015,"2000s","Gedeed"))))</f>
        <v/>
      </c>
      <c r="G377" s="20" t="inlineStr">
        <is>
          <t>Sahl</t>
        </is>
      </c>
      <c r="H377" s="20" t="inlineStr">
        <is>
          <t>Comedy</t>
        </is>
      </c>
      <c r="I377" s="20" t="inlineStr">
        <is>
          <t>نور النبوي</t>
        </is>
      </c>
      <c r="J377" s="20" t="inlineStr"/>
      <c r="K377" s="20" t="inlineStr"/>
      <c r="L377">
        <f>IF(B377="","",IF(LEFT(TRIM(B377),2)="ال",MID(TRIM(B377),3,1),LEFT(TRIM(B377),1)))</f>
        <v/>
      </c>
      <c r="M377">
        <f>IF(B377="","",LEN(TRIM(B377))-LEN(SUBSTITUTE(TRIM(B377)," ",""))+1)</f>
        <v/>
      </c>
      <c r="N377" t="inlineStr">
        <is>
          <t>Draft</t>
        </is>
      </c>
    </row>
    <row r="378">
      <c r="A378" t="n">
        <v>377</v>
      </c>
      <c r="B378" s="20" t="inlineStr">
        <is>
          <t>صايع بحر</t>
        </is>
      </c>
      <c r="C378" s="20" t="inlineStr">
        <is>
          <t>Saye3 Ba7r</t>
        </is>
      </c>
      <c r="D378" s="20" t="inlineStr">
        <is>
          <t>Film</t>
        </is>
      </c>
      <c r="E378" s="20" t="n">
        <v>2004</v>
      </c>
      <c r="F378">
        <f>IF(E378="","",IF(E378&lt;1970,"Abyad w eswed",IF(E378&lt;2000,"70s-90s",IF(E378&lt;2015,"2000s","Gedeed"))))</f>
        <v/>
      </c>
      <c r="G378" s="20" t="inlineStr">
        <is>
          <t>Wasat</t>
        </is>
      </c>
      <c r="H378" s="20" t="inlineStr">
        <is>
          <t>Comedy</t>
        </is>
      </c>
      <c r="I378" s="20" t="inlineStr">
        <is>
          <t>أحمد حلمي</t>
        </is>
      </c>
      <c r="J378" s="20" t="inlineStr"/>
      <c r="K378" s="20" t="inlineStr"/>
      <c r="L378">
        <f>IF(B378="","",IF(LEFT(TRIM(B378),2)="ال",MID(TRIM(B378),3,1),LEFT(TRIM(B378),1)))</f>
        <v/>
      </c>
      <c r="M378">
        <f>IF(B378="","",LEN(TRIM(B378))-LEN(SUBSTITUTE(TRIM(B378)," ",""))+1)</f>
        <v/>
      </c>
      <c r="N378" t="inlineStr">
        <is>
          <t>Draft</t>
        </is>
      </c>
    </row>
    <row r="379">
      <c r="A379" t="n">
        <v>378</v>
      </c>
      <c r="B379" s="20" t="inlineStr">
        <is>
          <t>مستر إكس</t>
        </is>
      </c>
      <c r="C379" s="20" t="inlineStr">
        <is>
          <t>Mister X</t>
        </is>
      </c>
      <c r="D379" s="20" t="inlineStr">
        <is>
          <t>Film</t>
        </is>
      </c>
      <c r="E379" s="20" t="n">
        <v>2024</v>
      </c>
      <c r="F379">
        <f>IF(E379="","",IF(E379&lt;1970,"Abyad w eswed",IF(E379&lt;2000,"70s-90s",IF(E379&lt;2015,"2000s","Gedeed"))))</f>
        <v/>
      </c>
      <c r="G379" s="20" t="inlineStr">
        <is>
          <t>Sa3b</t>
        </is>
      </c>
      <c r="H379" s="20" t="inlineStr">
        <is>
          <t>Comedy</t>
        </is>
      </c>
      <c r="I379" s="20" t="inlineStr">
        <is>
          <t>أحمد فهمي</t>
        </is>
      </c>
      <c r="J379" s="20" t="inlineStr"/>
      <c r="K379" s="20" t="inlineStr"/>
      <c r="L379">
        <f>IF(B379="","",IF(LEFT(TRIM(B379),2)="ال",MID(TRIM(B379),3,1),LEFT(TRIM(B379),1)))</f>
        <v/>
      </c>
      <c r="M379">
        <f>IF(B379="","",LEN(TRIM(B379))-LEN(SUBSTITUTE(TRIM(B379)," ",""))+1)</f>
        <v/>
      </c>
      <c r="N379" t="inlineStr">
        <is>
          <t>Draft</t>
        </is>
      </c>
    </row>
    <row r="380">
      <c r="A380" t="n">
        <v>379</v>
      </c>
      <c r="B380" s="20" t="inlineStr">
        <is>
          <t>نور عيني</t>
        </is>
      </c>
      <c r="C380" s="20" t="inlineStr">
        <is>
          <t>Nour 3eeny</t>
        </is>
      </c>
      <c r="D380" s="20" t="inlineStr">
        <is>
          <t>Film</t>
        </is>
      </c>
      <c r="E380" s="20" t="n">
        <v>2010</v>
      </c>
      <c r="F380">
        <f>IF(E380="","",IF(E380&lt;1970,"Abyad w eswed",IF(E380&lt;2000,"70s-90s",IF(E380&lt;2015,"2000s","Gedeed"))))</f>
        <v/>
      </c>
      <c r="G380" s="20" t="inlineStr">
        <is>
          <t>Wasat</t>
        </is>
      </c>
      <c r="H380" s="20" t="inlineStr">
        <is>
          <t>Romance</t>
        </is>
      </c>
      <c r="I380" s="20" t="inlineStr">
        <is>
          <t>تامر حسني</t>
        </is>
      </c>
      <c r="J380" s="20" t="inlineStr"/>
      <c r="K380" s="20" t="inlineStr"/>
      <c r="L380">
        <f>IF(B380="","",IF(LEFT(TRIM(B380),2)="ال",MID(TRIM(B380),3,1),LEFT(TRIM(B380),1)))</f>
        <v/>
      </c>
      <c r="M380">
        <f>IF(B380="","",LEN(TRIM(B380))-LEN(SUBSTITUTE(TRIM(B380)," ",""))+1)</f>
        <v/>
      </c>
      <c r="N380" t="inlineStr">
        <is>
          <t>Draft</t>
        </is>
      </c>
    </row>
    <row r="381">
      <c r="A381" t="n">
        <v>380</v>
      </c>
      <c r="B381" s="20" t="inlineStr">
        <is>
          <t>أهواك</t>
        </is>
      </c>
      <c r="C381" s="20" t="inlineStr">
        <is>
          <t>Ahwak</t>
        </is>
      </c>
      <c r="D381" s="20" t="inlineStr">
        <is>
          <t>Film</t>
        </is>
      </c>
      <c r="E381" s="20" t="n">
        <v>2015</v>
      </c>
      <c r="F381">
        <f>IF(E381="","",IF(E381&lt;1970,"Abyad w eswed",IF(E381&lt;2000,"70s-90s",IF(E381&lt;2015,"2000s","Gedeed"))))</f>
        <v/>
      </c>
      <c r="G381" s="20" t="inlineStr">
        <is>
          <t>Wasat</t>
        </is>
      </c>
      <c r="H381" s="20" t="inlineStr">
        <is>
          <t>Romance</t>
        </is>
      </c>
      <c r="I381" s="20" t="inlineStr">
        <is>
          <t>تامر حسني</t>
        </is>
      </c>
      <c r="J381" s="20" t="inlineStr"/>
      <c r="K381" s="20" t="inlineStr"/>
      <c r="L381">
        <f>IF(B381="","",IF(LEFT(TRIM(B381),2)="ال",MID(TRIM(B381),3,1),LEFT(TRIM(B381),1)))</f>
        <v/>
      </c>
      <c r="M381">
        <f>IF(B381="","",LEN(TRIM(B381))-LEN(SUBSTITUTE(TRIM(B381)," ",""))+1)</f>
        <v/>
      </c>
      <c r="N381" t="inlineStr">
        <is>
          <t>Draft</t>
        </is>
      </c>
    </row>
    <row r="382">
      <c r="A382" t="n">
        <v>381</v>
      </c>
      <c r="B382" s="20" t="inlineStr">
        <is>
          <t>تصبح على خير</t>
        </is>
      </c>
      <c r="C382" s="20" t="inlineStr">
        <is>
          <t>Tesba7 3ala Kheir</t>
        </is>
      </c>
      <c r="D382" s="20" t="inlineStr">
        <is>
          <t>Film</t>
        </is>
      </c>
      <c r="E382" s="20" t="n">
        <v>2017</v>
      </c>
      <c r="F382">
        <f>IF(E382="","",IF(E382&lt;1970,"Abyad w eswed",IF(E382&lt;2000,"70s-90s",IF(E382&lt;2015,"2000s","Gedeed"))))</f>
        <v/>
      </c>
      <c r="G382" s="20" t="inlineStr">
        <is>
          <t>Wasat</t>
        </is>
      </c>
      <c r="H382" s="20" t="inlineStr">
        <is>
          <t>Drama</t>
        </is>
      </c>
      <c r="I382" s="20" t="inlineStr">
        <is>
          <t>تامر حسني</t>
        </is>
      </c>
      <c r="J382" s="20" t="inlineStr"/>
      <c r="K382" s="20" t="inlineStr"/>
      <c r="L382">
        <f>IF(B382="","",IF(LEFT(TRIM(B382),2)="ال",MID(TRIM(B382),3,1),LEFT(TRIM(B382),1)))</f>
        <v/>
      </c>
      <c r="M382">
        <f>IF(B382="","",LEN(TRIM(B382))-LEN(SUBSTITUTE(TRIM(B382)," ",""))+1)</f>
        <v/>
      </c>
      <c r="N382" t="inlineStr">
        <is>
          <t>Draft</t>
        </is>
      </c>
    </row>
    <row r="383">
      <c r="A383" t="n">
        <v>382</v>
      </c>
      <c r="B383" s="20" t="inlineStr">
        <is>
          <t>الفلوس</t>
        </is>
      </c>
      <c r="C383" s="20" t="inlineStr">
        <is>
          <t>El Feloos</t>
        </is>
      </c>
      <c r="D383" s="20" t="inlineStr">
        <is>
          <t>Film</t>
        </is>
      </c>
      <c r="E383" s="20" t="n">
        <v>2019</v>
      </c>
      <c r="F383">
        <f>IF(E383="","",IF(E383&lt;1970,"Abyad w eswed",IF(E383&lt;2000,"70s-90s",IF(E383&lt;2015,"2000s","Gedeed"))))</f>
        <v/>
      </c>
      <c r="G383" s="20" t="inlineStr">
        <is>
          <t>Wasat</t>
        </is>
      </c>
      <c r="H383" s="20" t="inlineStr">
        <is>
          <t>Action</t>
        </is>
      </c>
      <c r="I383" s="20" t="inlineStr">
        <is>
          <t>تامر حسني</t>
        </is>
      </c>
      <c r="J383" s="20" t="inlineStr"/>
      <c r="K383" s="20" t="inlineStr"/>
      <c r="L383">
        <f>IF(B383="","",IF(LEFT(TRIM(B383),2)="ال",MID(TRIM(B383),3,1),LEFT(TRIM(B383),1)))</f>
        <v/>
      </c>
      <c r="M383">
        <f>IF(B383="","",LEN(TRIM(B383))-LEN(SUBSTITUTE(TRIM(B383)," ",""))+1)</f>
        <v/>
      </c>
      <c r="N383" t="inlineStr">
        <is>
          <t>Draft</t>
        </is>
      </c>
    </row>
    <row r="384">
      <c r="A384" t="n">
        <v>383</v>
      </c>
      <c r="B384" s="20" t="inlineStr">
        <is>
          <t>ريستارت</t>
        </is>
      </c>
      <c r="C384" s="20" t="inlineStr">
        <is>
          <t>Restart</t>
        </is>
      </c>
      <c r="D384" s="20" t="inlineStr">
        <is>
          <t>Film</t>
        </is>
      </c>
      <c r="E384" s="20" t="n">
        <v>2025</v>
      </c>
      <c r="F384">
        <f>IF(E384="","",IF(E384&lt;1970,"Abyad w eswed",IF(E384&lt;2000,"70s-90s",IF(E384&lt;2015,"2000s","Gedeed"))))</f>
        <v/>
      </c>
      <c r="G384" s="20" t="inlineStr">
        <is>
          <t>Wasat</t>
        </is>
      </c>
      <c r="H384" s="20" t="inlineStr">
        <is>
          <t>Comedy</t>
        </is>
      </c>
      <c r="I384" s="20" t="inlineStr">
        <is>
          <t>تامر حسني</t>
        </is>
      </c>
      <c r="J384" s="20" t="inlineStr"/>
      <c r="K384" s="20" t="inlineStr"/>
      <c r="L384">
        <f>IF(B384="","",IF(LEFT(TRIM(B384),2)="ال",MID(TRIM(B384),3,1),LEFT(TRIM(B384),1)))</f>
        <v/>
      </c>
      <c r="M384">
        <f>IF(B384="","",LEN(TRIM(B384))-LEN(SUBSTITUTE(TRIM(B384)," ",""))+1)</f>
        <v/>
      </c>
      <c r="N384" t="inlineStr">
        <is>
          <t>Draft</t>
        </is>
      </c>
    </row>
    <row r="385">
      <c r="A385" t="n">
        <v>384</v>
      </c>
      <c r="B385" s="20" t="inlineStr">
        <is>
          <t>جواب اعتقال</t>
        </is>
      </c>
      <c r="C385" s="20" t="inlineStr">
        <is>
          <t>Gawab E3te2al</t>
        </is>
      </c>
      <c r="D385" s="20" t="inlineStr">
        <is>
          <t>Film</t>
        </is>
      </c>
      <c r="E385" s="20" t="n">
        <v>2017</v>
      </c>
      <c r="F385">
        <f>IF(E385="","",IF(E385&lt;1970,"Abyad w eswed",IF(E385&lt;2000,"70s-90s",IF(E385&lt;2015,"2000s","Gedeed"))))</f>
        <v/>
      </c>
      <c r="G385" s="20" t="inlineStr">
        <is>
          <t>Wasat</t>
        </is>
      </c>
      <c r="H385" s="20" t="inlineStr">
        <is>
          <t>Action</t>
        </is>
      </c>
      <c r="I385" s="20" t="inlineStr">
        <is>
          <t>محمد رمضان</t>
        </is>
      </c>
      <c r="J385" s="20" t="inlineStr"/>
      <c r="K385" s="20" t="inlineStr"/>
      <c r="L385">
        <f>IF(B385="","",IF(LEFT(TRIM(B385),2)="ال",MID(TRIM(B385),3,1),LEFT(TRIM(B385),1)))</f>
        <v/>
      </c>
      <c r="M385">
        <f>IF(B385="","",LEN(TRIM(B385))-LEN(SUBSTITUTE(TRIM(B385)," ",""))+1)</f>
        <v/>
      </c>
      <c r="N385" t="inlineStr">
        <is>
          <t>Draft</t>
        </is>
      </c>
    </row>
    <row r="386">
      <c r="A386" t="n">
        <v>385</v>
      </c>
      <c r="B386" s="20" t="inlineStr">
        <is>
          <t>هارلي</t>
        </is>
      </c>
      <c r="C386" s="20" t="inlineStr">
        <is>
          <t>Harley</t>
        </is>
      </c>
      <c r="D386" s="20" t="inlineStr">
        <is>
          <t>Film</t>
        </is>
      </c>
      <c r="E386" s="20" t="n">
        <v>2023</v>
      </c>
      <c r="F386">
        <f>IF(E386="","",IF(E386&lt;1970,"Abyad w eswed",IF(E386&lt;2000,"70s-90s",IF(E386&lt;2015,"2000s","Gedeed"))))</f>
        <v/>
      </c>
      <c r="G386" s="20" t="inlineStr">
        <is>
          <t>Wasat</t>
        </is>
      </c>
      <c r="H386" s="20" t="inlineStr">
        <is>
          <t>Action</t>
        </is>
      </c>
      <c r="I386" s="20" t="inlineStr">
        <is>
          <t>محمد رمضان</t>
        </is>
      </c>
      <c r="J386" s="20" t="inlineStr"/>
      <c r="K386" s="20" t="inlineStr"/>
      <c r="L386">
        <f>IF(B386="","",IF(LEFT(TRIM(B386),2)="ال",MID(TRIM(B386),3,1),LEFT(TRIM(B386),1)))</f>
        <v/>
      </c>
      <c r="M386">
        <f>IF(B386="","",LEN(TRIM(B386))-LEN(SUBSTITUTE(TRIM(B386)," ",""))+1)</f>
        <v/>
      </c>
      <c r="N386" t="inlineStr">
        <is>
          <t>Draft</t>
        </is>
      </c>
    </row>
    <row r="387">
      <c r="A387" t="n">
        <v>386</v>
      </c>
      <c r="B387" s="20" t="inlineStr">
        <is>
          <t>ع الزيرو</t>
        </is>
      </c>
      <c r="C387" s="20" t="inlineStr">
        <is>
          <t>3al Zero</t>
        </is>
      </c>
      <c r="D387" s="20" t="inlineStr">
        <is>
          <t>Film</t>
        </is>
      </c>
      <c r="E387" s="20" t="n">
        <v>2023</v>
      </c>
      <c r="F387">
        <f>IF(E387="","",IF(E387&lt;1970,"Abyad w eswed",IF(E387&lt;2000,"70s-90s",IF(E387&lt;2015,"2000s","Gedeed"))))</f>
        <v/>
      </c>
      <c r="G387" s="20" t="inlineStr">
        <is>
          <t>Wasat</t>
        </is>
      </c>
      <c r="H387" s="20" t="inlineStr">
        <is>
          <t>Comedy</t>
        </is>
      </c>
      <c r="I387" s="20" t="inlineStr">
        <is>
          <t>محمد رمضان</t>
        </is>
      </c>
      <c r="J387" s="20" t="inlineStr"/>
      <c r="K387" s="20" t="inlineStr"/>
      <c r="L387">
        <f>IF(B387="","",IF(LEFT(TRIM(B387),2)="ال",MID(TRIM(B387),3,1),LEFT(TRIM(B387),1)))</f>
        <v/>
      </c>
      <c r="M387">
        <f>IF(B387="","",LEN(TRIM(B387))-LEN(SUBSTITUTE(TRIM(B387)," ",""))+1)</f>
        <v/>
      </c>
      <c r="N387" t="inlineStr">
        <is>
          <t>Draft</t>
        </is>
      </c>
    </row>
    <row r="388">
      <c r="A388" t="n">
        <v>387</v>
      </c>
      <c r="B388" s="20" t="inlineStr">
        <is>
          <t>ملاكي إسكندرية</t>
        </is>
      </c>
      <c r="C388" s="20" t="inlineStr">
        <is>
          <t>Malaky Eskendereya</t>
        </is>
      </c>
      <c r="D388" s="20" t="inlineStr">
        <is>
          <t>Film</t>
        </is>
      </c>
      <c r="E388" s="20" t="n">
        <v>2005</v>
      </c>
      <c r="F388">
        <f>IF(E388="","",IF(E388&lt;1970,"Abyad w eswed",IF(E388&lt;2000,"70s-90s",IF(E388&lt;2015,"2000s","Gedeed"))))</f>
        <v/>
      </c>
      <c r="G388" s="20" t="inlineStr">
        <is>
          <t>Wasat</t>
        </is>
      </c>
      <c r="H388" s="20" t="inlineStr">
        <is>
          <t>Thriller</t>
        </is>
      </c>
      <c r="I388" s="20" t="inlineStr">
        <is>
          <t>أحمد عز</t>
        </is>
      </c>
      <c r="J388" s="20" t="inlineStr"/>
      <c r="K388" s="20" t="inlineStr"/>
      <c r="L388">
        <f>IF(B388="","",IF(LEFT(TRIM(B388),2)="ال",MID(TRIM(B388),3,1),LEFT(TRIM(B388),1)))</f>
        <v/>
      </c>
      <c r="M388">
        <f>IF(B388="","",LEN(TRIM(B388))-LEN(SUBSTITUTE(TRIM(B388)," ",""))+1)</f>
        <v/>
      </c>
      <c r="N388" t="inlineStr">
        <is>
          <t>Draft</t>
        </is>
      </c>
    </row>
    <row r="389">
      <c r="A389" t="n">
        <v>388</v>
      </c>
      <c r="B389" s="20" t="inlineStr">
        <is>
          <t>الرهينة</t>
        </is>
      </c>
      <c r="C389" s="20" t="inlineStr">
        <is>
          <t>El Rahina</t>
        </is>
      </c>
      <c r="D389" s="20" t="inlineStr">
        <is>
          <t>Film</t>
        </is>
      </c>
      <c r="E389" s="20" t="n">
        <v>2006</v>
      </c>
      <c r="F389">
        <f>IF(E389="","",IF(E389&lt;1970,"Abyad w eswed",IF(E389&lt;2000,"70s-90s",IF(E389&lt;2015,"2000s","Gedeed"))))</f>
        <v/>
      </c>
      <c r="G389" s="20" t="inlineStr">
        <is>
          <t>Wasat</t>
        </is>
      </c>
      <c r="H389" s="20" t="inlineStr">
        <is>
          <t>Action</t>
        </is>
      </c>
      <c r="I389" s="20" t="inlineStr">
        <is>
          <t>أحمد عز</t>
        </is>
      </c>
      <c r="J389" s="20" t="inlineStr"/>
      <c r="K389" s="20" t="inlineStr"/>
      <c r="L389">
        <f>IF(B389="","",IF(LEFT(TRIM(B389),2)="ال",MID(TRIM(B389),3,1),LEFT(TRIM(B389),1)))</f>
        <v/>
      </c>
      <c r="M389">
        <f>IF(B389="","",LEN(TRIM(B389))-LEN(SUBSTITUTE(TRIM(B389)," ",""))+1)</f>
        <v/>
      </c>
      <c r="N389" t="inlineStr">
        <is>
          <t>Draft</t>
        </is>
      </c>
    </row>
    <row r="390">
      <c r="A390" t="n">
        <v>389</v>
      </c>
      <c r="B390" s="20" t="inlineStr">
        <is>
          <t>بدل فاقد</t>
        </is>
      </c>
      <c r="C390" s="20" t="inlineStr">
        <is>
          <t>Badal Fa2ed</t>
        </is>
      </c>
      <c r="D390" s="20" t="inlineStr">
        <is>
          <t>Film</t>
        </is>
      </c>
      <c r="E390" s="20" t="n">
        <v>2009</v>
      </c>
      <c r="F390">
        <f>IF(E390="","",IF(E390&lt;1970,"Abyad w eswed",IF(E390&lt;2000,"70s-90s",IF(E390&lt;2015,"2000s","Gedeed"))))</f>
        <v/>
      </c>
      <c r="G390" s="20" t="inlineStr">
        <is>
          <t>Wasat</t>
        </is>
      </c>
      <c r="H390" s="20" t="inlineStr">
        <is>
          <t>Action</t>
        </is>
      </c>
      <c r="I390" s="20" t="inlineStr">
        <is>
          <t>أحمد عز</t>
        </is>
      </c>
      <c r="J390" s="20" t="inlineStr"/>
      <c r="K390" s="20" t="inlineStr"/>
      <c r="L390">
        <f>IF(B390="","",IF(LEFT(TRIM(B390),2)="ال",MID(TRIM(B390),3,1),LEFT(TRIM(B390),1)))</f>
        <v/>
      </c>
      <c r="M390">
        <f>IF(B390="","",LEN(TRIM(B390))-LEN(SUBSTITUTE(TRIM(B390)," ",""))+1)</f>
        <v/>
      </c>
      <c r="N390" t="inlineStr">
        <is>
          <t>Draft</t>
        </is>
      </c>
    </row>
    <row r="391">
      <c r="A391" t="n">
        <v>390</v>
      </c>
      <c r="B391" s="20" t="inlineStr">
        <is>
          <t>الشبح</t>
        </is>
      </c>
      <c r="C391" s="20" t="inlineStr">
        <is>
          <t>El Shab7</t>
        </is>
      </c>
      <c r="D391" s="20" t="inlineStr">
        <is>
          <t>Film</t>
        </is>
      </c>
      <c r="E391" s="20" t="n">
        <v>2007</v>
      </c>
      <c r="F391">
        <f>IF(E391="","",IF(E391&lt;1970,"Abyad w eswed",IF(E391&lt;2000,"70s-90s",IF(E391&lt;2015,"2000s","Gedeed"))))</f>
        <v/>
      </c>
      <c r="G391" s="20" t="inlineStr">
        <is>
          <t>Wasat</t>
        </is>
      </c>
      <c r="H391" s="20" t="inlineStr">
        <is>
          <t>Action</t>
        </is>
      </c>
      <c r="I391" s="20" t="inlineStr">
        <is>
          <t>أحمد عز</t>
        </is>
      </c>
      <c r="J391" s="20" t="inlineStr"/>
      <c r="K391" s="20" t="inlineStr"/>
      <c r="L391">
        <f>IF(B391="","",IF(LEFT(TRIM(B391),2)="ال",MID(TRIM(B391),3,1),LEFT(TRIM(B391),1)))</f>
        <v/>
      </c>
      <c r="M391">
        <f>IF(B391="","",LEN(TRIM(B391))-LEN(SUBSTITUTE(TRIM(B391)," ",""))+1)</f>
        <v/>
      </c>
      <c r="N391" t="inlineStr">
        <is>
          <t>Draft</t>
        </is>
      </c>
    </row>
    <row r="392">
      <c r="A392" t="n">
        <v>391</v>
      </c>
      <c r="B392" s="20" t="inlineStr">
        <is>
          <t>العارف</t>
        </is>
      </c>
      <c r="C392" s="20" t="inlineStr">
        <is>
          <t>El 3aref</t>
        </is>
      </c>
      <c r="D392" s="20" t="inlineStr">
        <is>
          <t>Film</t>
        </is>
      </c>
      <c r="E392" s="20" t="n">
        <v>2021</v>
      </c>
      <c r="F392">
        <f>IF(E392="","",IF(E392&lt;1970,"Abyad w eswed",IF(E392&lt;2000,"70s-90s",IF(E392&lt;2015,"2000s","Gedeed"))))</f>
        <v/>
      </c>
      <c r="G392" s="20" t="inlineStr">
        <is>
          <t>Wasat</t>
        </is>
      </c>
      <c r="H392" s="20" t="inlineStr">
        <is>
          <t>Action</t>
        </is>
      </c>
      <c r="I392" s="20" t="inlineStr">
        <is>
          <t>أحمد عز</t>
        </is>
      </c>
      <c r="J392" s="20" t="inlineStr"/>
      <c r="K392" s="20" t="inlineStr"/>
      <c r="L392">
        <f>IF(B392="","",IF(LEFT(TRIM(B392),2)="ال",MID(TRIM(B392),3,1),LEFT(TRIM(B392),1)))</f>
        <v/>
      </c>
      <c r="M392">
        <f>IF(B392="","",LEN(TRIM(B392))-LEN(SUBSTITUTE(TRIM(B392)," ",""))+1)</f>
        <v/>
      </c>
      <c r="N392" t="inlineStr">
        <is>
          <t>Draft</t>
        </is>
      </c>
    </row>
    <row r="393">
      <c r="A393" t="n">
        <v>392</v>
      </c>
      <c r="B393" s="20" t="inlineStr">
        <is>
          <t>الملحد</t>
        </is>
      </c>
      <c r="C393" s="20" t="inlineStr">
        <is>
          <t>El Mol7ed</t>
        </is>
      </c>
      <c r="D393" s="20" t="inlineStr">
        <is>
          <t>Film</t>
        </is>
      </c>
      <c r="E393" s="20" t="n">
        <v>2025</v>
      </c>
      <c r="F393">
        <f>IF(E393="","",IF(E393&lt;1970,"Abyad w eswed",IF(E393&lt;2000,"70s-90s",IF(E393&lt;2015,"2000s","Gedeed"))))</f>
        <v/>
      </c>
      <c r="G393" s="20" t="inlineStr">
        <is>
          <t>Sa3b</t>
        </is>
      </c>
      <c r="H393" s="20" t="inlineStr">
        <is>
          <t>Drama</t>
        </is>
      </c>
      <c r="I393" s="20" t="inlineStr">
        <is>
          <t>أحمد حاتم</t>
        </is>
      </c>
      <c r="J393" s="20" t="inlineStr"/>
      <c r="K393" s="20" t="inlineStr"/>
      <c r="L393">
        <f>IF(B393="","",IF(LEFT(TRIM(B393),2)="ال",MID(TRIM(B393),3,1),LEFT(TRIM(B393),1)))</f>
        <v/>
      </c>
      <c r="M393">
        <f>IF(B393="","",LEN(TRIM(B393))-LEN(SUBSTITUTE(TRIM(B393)," ",""))+1)</f>
        <v/>
      </c>
      <c r="N393" t="inlineStr">
        <is>
          <t>Draft</t>
        </is>
      </c>
    </row>
    <row r="394">
      <c r="A394" t="n">
        <v>393</v>
      </c>
      <c r="B394" s="20" t="inlineStr">
        <is>
          <t>أصحاب ولا بيزنس</t>
        </is>
      </c>
      <c r="C394" s="20" t="inlineStr">
        <is>
          <t>As7ab wala Business</t>
        </is>
      </c>
      <c r="D394" s="20" t="inlineStr">
        <is>
          <t>Film</t>
        </is>
      </c>
      <c r="E394" s="20" t="n">
        <v>2001</v>
      </c>
      <c r="F394">
        <f>IF(E394="","",IF(E394&lt;1970,"Abyad w eswed",IF(E394&lt;2000,"70s-90s",IF(E394&lt;2015,"2000s","Gedeed"))))</f>
        <v/>
      </c>
      <c r="G394" s="20" t="inlineStr">
        <is>
          <t>Sa3b</t>
        </is>
      </c>
      <c r="H394" s="20" t="inlineStr">
        <is>
          <t>Drama</t>
        </is>
      </c>
      <c r="I394" s="20" t="inlineStr">
        <is>
          <t>مصطفى قمر</t>
        </is>
      </c>
      <c r="J394" s="20" t="inlineStr"/>
      <c r="K394" s="20" t="inlineStr"/>
      <c r="L394">
        <f>IF(B394="","",IF(LEFT(TRIM(B394),2)="ال",MID(TRIM(B394),3,1),LEFT(TRIM(B394),1)))</f>
        <v/>
      </c>
      <c r="M394">
        <f>IF(B394="","",LEN(TRIM(B394))-LEN(SUBSTITUTE(TRIM(B394)," ",""))+1)</f>
        <v/>
      </c>
      <c r="N394" t="inlineStr">
        <is>
          <t>Draft</t>
        </is>
      </c>
    </row>
    <row r="395">
      <c r="A395" t="n">
        <v>394</v>
      </c>
      <c r="B395" s="20" t="inlineStr">
        <is>
          <t>بحبك وأنا كمان</t>
        </is>
      </c>
      <c r="C395" s="20" t="inlineStr">
        <is>
          <t>Ba7ebak w Ana Kaman</t>
        </is>
      </c>
      <c r="D395" s="20" t="inlineStr">
        <is>
          <t>Film</t>
        </is>
      </c>
      <c r="E395" s="20" t="n">
        <v>2003</v>
      </c>
      <c r="F395">
        <f>IF(E395="","",IF(E395&lt;1970,"Abyad w eswed",IF(E395&lt;2000,"70s-90s",IF(E395&lt;2015,"2000s","Gedeed"))))</f>
        <v/>
      </c>
      <c r="G395" s="20" t="inlineStr">
        <is>
          <t>Sa3b</t>
        </is>
      </c>
      <c r="H395" s="20" t="inlineStr">
        <is>
          <t>Romance</t>
        </is>
      </c>
      <c r="I395" s="20" t="inlineStr">
        <is>
          <t>مصطفى قمر</t>
        </is>
      </c>
      <c r="J395" s="20" t="inlineStr"/>
      <c r="K395" s="20" t="inlineStr"/>
      <c r="L395">
        <f>IF(B395="","",IF(LEFT(TRIM(B395),2)="ال",MID(TRIM(B395),3,1),LEFT(TRIM(B395),1)))</f>
        <v/>
      </c>
      <c r="M395">
        <f>IF(B395="","",LEN(TRIM(B395))-LEN(SUBSTITUTE(TRIM(B395)," ",""))+1)</f>
        <v/>
      </c>
      <c r="N395" t="inlineStr">
        <is>
          <t>Draft</t>
        </is>
      </c>
    </row>
    <row r="396">
      <c r="A396" t="n">
        <v>395</v>
      </c>
      <c r="B396" s="20" t="inlineStr">
        <is>
          <t>عصابة الدكتور عمر</t>
        </is>
      </c>
      <c r="C396" s="20" t="inlineStr">
        <is>
          <t>3esabet el Doctor 3omar</t>
        </is>
      </c>
      <c r="D396" s="20" t="inlineStr">
        <is>
          <t>Film</t>
        </is>
      </c>
      <c r="E396" s="20" t="n">
        <v>2007</v>
      </c>
      <c r="F396">
        <f>IF(E396="","",IF(E396&lt;1970,"Abyad w eswed",IF(E396&lt;2000,"70s-90s",IF(E396&lt;2015,"2000s","Gedeed"))))</f>
        <v/>
      </c>
      <c r="G396" s="20" t="inlineStr">
        <is>
          <t>Sa3b</t>
        </is>
      </c>
      <c r="H396" s="20" t="inlineStr">
        <is>
          <t>Comedy</t>
        </is>
      </c>
      <c r="I396" s="20" t="inlineStr">
        <is>
          <t>مصطفى قمر</t>
        </is>
      </c>
      <c r="J396" s="20" t="inlineStr"/>
      <c r="K396" s="20" t="inlineStr"/>
      <c r="L396">
        <f>IF(B396="","",IF(LEFT(TRIM(B396),2)="ال",MID(TRIM(B396),3,1),LEFT(TRIM(B396),1)))</f>
        <v/>
      </c>
      <c r="M396">
        <f>IF(B396="","",LEN(TRIM(B396))-LEN(SUBSTITUTE(TRIM(B396)," ",""))+1)</f>
        <v/>
      </c>
      <c r="N396" t="inlineStr">
        <is>
          <t>Draft</t>
        </is>
      </c>
    </row>
    <row r="397">
      <c r="A397" t="n">
        <v>396</v>
      </c>
      <c r="B397" s="20" t="inlineStr">
        <is>
          <t>معلش إحنا بنتبهدل</t>
        </is>
      </c>
      <c r="C397" s="20" t="inlineStr">
        <is>
          <t>Ma3lesh E7na Benetbahdel</t>
        </is>
      </c>
      <c r="D397" s="20" t="inlineStr">
        <is>
          <t>Film</t>
        </is>
      </c>
      <c r="E397" s="20" t="n">
        <v>2005</v>
      </c>
      <c r="F397">
        <f>IF(E397="","",IF(E397&lt;1970,"Abyad w eswed",IF(E397&lt;2000,"70s-90s",IF(E397&lt;2015,"2000s","Gedeed"))))</f>
        <v/>
      </c>
      <c r="G397" s="20" t="inlineStr">
        <is>
          <t>Wasat</t>
        </is>
      </c>
      <c r="H397" s="20" t="inlineStr">
        <is>
          <t>Comedy</t>
        </is>
      </c>
      <c r="I397" s="20" t="inlineStr">
        <is>
          <t>أحمد آدم</t>
        </is>
      </c>
      <c r="J397" s="20" t="inlineStr"/>
      <c r="K397" s="20" t="inlineStr"/>
      <c r="L397">
        <f>IF(B397="","",IF(LEFT(TRIM(B397),2)="ال",MID(TRIM(B397),3,1),LEFT(TRIM(B397),1)))</f>
        <v/>
      </c>
      <c r="M397">
        <f>IF(B397="","",LEN(TRIM(B397))-LEN(SUBSTITUTE(TRIM(B397)," ",""))+1)</f>
        <v/>
      </c>
      <c r="N397" t="inlineStr">
        <is>
          <t>Draft</t>
        </is>
      </c>
    </row>
    <row r="398">
      <c r="A398" t="n">
        <v>397</v>
      </c>
      <c r="B398" s="20" t="inlineStr">
        <is>
          <t>صباحو كدب</t>
        </is>
      </c>
      <c r="C398" s="20" t="inlineStr">
        <is>
          <t>Saba7o Kedb</t>
        </is>
      </c>
      <c r="D398" s="20" t="inlineStr">
        <is>
          <t>Film</t>
        </is>
      </c>
      <c r="E398" s="20" t="n">
        <v>2007</v>
      </c>
      <c r="F398">
        <f>IF(E398="","",IF(E398&lt;1970,"Abyad w eswed",IF(E398&lt;2000,"70s-90s",IF(E398&lt;2015,"2000s","Gedeed"))))</f>
        <v/>
      </c>
      <c r="G398" s="20" t="inlineStr">
        <is>
          <t>Sa3b</t>
        </is>
      </c>
      <c r="H398" s="20" t="inlineStr">
        <is>
          <t>Comedy</t>
        </is>
      </c>
      <c r="I398" s="20" t="inlineStr">
        <is>
          <t>أحمد آدم</t>
        </is>
      </c>
      <c r="J398" s="20" t="inlineStr"/>
      <c r="K398" s="20" t="inlineStr"/>
      <c r="L398">
        <f>IF(B398="","",IF(LEFT(TRIM(B398),2)="ال",MID(TRIM(B398),3,1),LEFT(TRIM(B398),1)))</f>
        <v/>
      </c>
      <c r="M398">
        <f>IF(B398="","",LEN(TRIM(B398))-LEN(SUBSTITUTE(TRIM(B398)," ",""))+1)</f>
        <v/>
      </c>
      <c r="N398" t="inlineStr">
        <is>
          <t>Draft</t>
        </is>
      </c>
    </row>
    <row r="399">
      <c r="A399" t="n">
        <v>398</v>
      </c>
      <c r="B399" s="20" t="inlineStr">
        <is>
          <t>فيلم ثقافي</t>
        </is>
      </c>
      <c r="C399" s="20" t="inlineStr">
        <is>
          <t>Film Thaqafy</t>
        </is>
      </c>
      <c r="D399" s="20" t="inlineStr">
        <is>
          <t>Film</t>
        </is>
      </c>
      <c r="E399" s="20" t="n">
        <v>2000</v>
      </c>
      <c r="F399">
        <f>IF(E399="","",IF(E399&lt;1970,"Abyad w eswed",IF(E399&lt;2000,"70s-90s",IF(E399&lt;2015,"2000s","Gedeed"))))</f>
        <v/>
      </c>
      <c r="G399" s="20" t="inlineStr">
        <is>
          <t>Wasat</t>
        </is>
      </c>
      <c r="H399" s="20" t="inlineStr">
        <is>
          <t>Comedy</t>
        </is>
      </c>
      <c r="I399" s="20" t="inlineStr">
        <is>
          <t>أحمد عيد</t>
        </is>
      </c>
      <c r="J399" s="20" t="inlineStr"/>
      <c r="K399" s="20" t="inlineStr"/>
      <c r="L399">
        <f>IF(B399="","",IF(LEFT(TRIM(B399),2)="ال",MID(TRIM(B399),3,1),LEFT(TRIM(B399),1)))</f>
        <v/>
      </c>
      <c r="M399">
        <f>IF(B399="","",LEN(TRIM(B399))-LEN(SUBSTITUTE(TRIM(B399)," ",""))+1)</f>
        <v/>
      </c>
      <c r="N399" t="inlineStr">
        <is>
          <t>Draft</t>
        </is>
      </c>
    </row>
    <row r="400">
      <c r="A400" t="n">
        <v>399</v>
      </c>
      <c r="B400" s="20" t="inlineStr">
        <is>
          <t>حظ سعيد</t>
        </is>
      </c>
      <c r="C400" s="20" t="inlineStr">
        <is>
          <t>7az Sa3eed</t>
        </is>
      </c>
      <c r="D400" s="20" t="inlineStr">
        <is>
          <t>Film</t>
        </is>
      </c>
      <c r="E400" s="20" t="n">
        <v>2012</v>
      </c>
      <c r="F400">
        <f>IF(E400="","",IF(E400&lt;1970,"Abyad w eswed",IF(E400&lt;2000,"70s-90s",IF(E400&lt;2015,"2000s","Gedeed"))))</f>
        <v/>
      </c>
      <c r="G400" s="20" t="inlineStr">
        <is>
          <t>Sa3b</t>
        </is>
      </c>
      <c r="H400" s="20" t="inlineStr">
        <is>
          <t>Comedy</t>
        </is>
      </c>
      <c r="I400" s="20" t="inlineStr">
        <is>
          <t>أحمد عيد</t>
        </is>
      </c>
      <c r="J400" s="20" t="inlineStr"/>
      <c r="K400" s="20" t="inlineStr"/>
      <c r="L400">
        <f>IF(B400="","",IF(LEFT(TRIM(B400),2)="ال",MID(TRIM(B400),3,1),LEFT(TRIM(B400),1)))</f>
        <v/>
      </c>
      <c r="M400">
        <f>IF(B400="","",LEN(TRIM(B400))-LEN(SUBSTITUTE(TRIM(B400)," ",""))+1)</f>
        <v/>
      </c>
      <c r="N400" t="inlineStr">
        <is>
          <t>Draft</t>
        </is>
      </c>
    </row>
    <row r="401">
      <c r="A401" t="n">
        <v>400</v>
      </c>
      <c r="B401" s="20" t="inlineStr">
        <is>
          <t>جوازة ميري</t>
        </is>
      </c>
      <c r="C401" s="20" t="inlineStr">
        <is>
          <t>Gawaza Miri</t>
        </is>
      </c>
      <c r="D401" s="20" t="inlineStr">
        <is>
          <t>Film</t>
        </is>
      </c>
      <c r="E401" s="20" t="n">
        <v>2015</v>
      </c>
      <c r="F401">
        <f>IF(E401="","",IF(E401&lt;1970,"Abyad w eswed",IF(E401&lt;2000,"70s-90s",IF(E401&lt;2015,"2000s","Gedeed"))))</f>
        <v/>
      </c>
      <c r="G401" s="20" t="inlineStr">
        <is>
          <t>Wasat</t>
        </is>
      </c>
      <c r="H401" s="20" t="inlineStr">
        <is>
          <t>Comedy</t>
        </is>
      </c>
      <c r="I401" s="20" t="inlineStr">
        <is>
          <t>ياسمين عبد العزيز</t>
        </is>
      </c>
      <c r="J401" s="20" t="inlineStr"/>
      <c r="K401" s="20" t="inlineStr"/>
      <c r="L401">
        <f>IF(B401="","",IF(LEFT(TRIM(B401),2)="ال",MID(TRIM(B401),3,1),LEFT(TRIM(B401),1)))</f>
        <v/>
      </c>
      <c r="M401">
        <f>IF(B401="","",LEN(TRIM(B401))-LEN(SUBSTITUTE(TRIM(B401)," ",""))+1)</f>
        <v/>
      </c>
      <c r="N401" t="inlineStr">
        <is>
          <t>Draft</t>
        </is>
      </c>
    </row>
    <row r="402">
      <c r="A402" t="n">
        <v>401</v>
      </c>
      <c r="B402" s="20" t="inlineStr">
        <is>
          <t>أبو شنب</t>
        </is>
      </c>
      <c r="C402" s="20" t="inlineStr">
        <is>
          <t>Abu Shanab</t>
        </is>
      </c>
      <c r="D402" s="20" t="inlineStr">
        <is>
          <t>Film</t>
        </is>
      </c>
      <c r="E402" s="20" t="n">
        <v>2017</v>
      </c>
      <c r="F402">
        <f>IF(E402="","",IF(E402&lt;1970,"Abyad w eswed",IF(E402&lt;2000,"70s-90s",IF(E402&lt;2015,"2000s","Gedeed"))))</f>
        <v/>
      </c>
      <c r="G402" s="20" t="inlineStr">
        <is>
          <t>Wasat</t>
        </is>
      </c>
      <c r="H402" s="20" t="inlineStr">
        <is>
          <t>Comedy</t>
        </is>
      </c>
      <c r="I402" s="20" t="inlineStr">
        <is>
          <t>ياسمين عبد العزيز</t>
        </is>
      </c>
      <c r="J402" s="20" t="inlineStr"/>
      <c r="K402" s="20" t="inlineStr"/>
      <c r="L402">
        <f>IF(B402="","",IF(LEFT(TRIM(B402),2)="ال",MID(TRIM(B402),3,1),LEFT(TRIM(B402),1)))</f>
        <v/>
      </c>
      <c r="M402">
        <f>IF(B402="","",LEN(TRIM(B402))-LEN(SUBSTITUTE(TRIM(B402)," ",""))+1)</f>
        <v/>
      </c>
      <c r="N402" t="inlineStr">
        <is>
          <t>Draft</t>
        </is>
      </c>
    </row>
    <row r="403">
      <c r="A403" t="n">
        <v>402</v>
      </c>
      <c r="B403" s="20" t="inlineStr">
        <is>
          <t>حاحا وتفاحة</t>
        </is>
      </c>
      <c r="C403" s="20" t="inlineStr">
        <is>
          <t>7a7a w Toffa7a</t>
        </is>
      </c>
      <c r="D403" s="20" t="inlineStr">
        <is>
          <t>Film</t>
        </is>
      </c>
      <c r="E403" s="20" t="n">
        <v>2006</v>
      </c>
      <c r="F403">
        <f>IF(E403="","",IF(E403&lt;1970,"Abyad w eswed",IF(E403&lt;2000,"70s-90s",IF(E403&lt;2015,"2000s","Gedeed"))))</f>
        <v/>
      </c>
      <c r="G403" s="20" t="inlineStr">
        <is>
          <t>Wasat</t>
        </is>
      </c>
      <c r="H403" s="20" t="inlineStr">
        <is>
          <t>Comedy</t>
        </is>
      </c>
      <c r="I403" s="20" t="inlineStr">
        <is>
          <t>ياسمين عبد العزيز</t>
        </is>
      </c>
      <c r="J403" s="20" t="inlineStr"/>
      <c r="K403" s="20" t="inlineStr"/>
      <c r="L403">
        <f>IF(B403="","",IF(LEFT(TRIM(B403),2)="ال",MID(TRIM(B403),3,1),LEFT(TRIM(B403),1)))</f>
        <v/>
      </c>
      <c r="M403">
        <f>IF(B403="","",LEN(TRIM(B403))-LEN(SUBSTITUTE(TRIM(B403)," ",""))+1)</f>
        <v/>
      </c>
      <c r="N403" t="inlineStr">
        <is>
          <t>Draft</t>
        </is>
      </c>
    </row>
    <row r="404">
      <c r="A404" t="n">
        <v>403</v>
      </c>
      <c r="B404" s="20" t="inlineStr">
        <is>
          <t>بنتين من مصر</t>
        </is>
      </c>
      <c r="C404" s="20" t="inlineStr">
        <is>
          <t>Bentein men Masr</t>
        </is>
      </c>
      <c r="D404" s="20" t="inlineStr">
        <is>
          <t>Film</t>
        </is>
      </c>
      <c r="E404" s="20" t="n">
        <v>2010</v>
      </c>
      <c r="F404">
        <f>IF(E404="","",IF(E404&lt;1970,"Abyad w eswed",IF(E404&lt;2000,"70s-90s",IF(E404&lt;2015,"2000s","Gedeed"))))</f>
        <v/>
      </c>
      <c r="G404" s="20" t="inlineStr">
        <is>
          <t>Sa3b</t>
        </is>
      </c>
      <c r="H404" s="20" t="inlineStr">
        <is>
          <t>Drama</t>
        </is>
      </c>
      <c r="I404" s="20" t="inlineStr">
        <is>
          <t>زينة</t>
        </is>
      </c>
      <c r="J404" s="20" t="inlineStr"/>
      <c r="K404" s="20" t="inlineStr"/>
      <c r="L404">
        <f>IF(B404="","",IF(LEFT(TRIM(B404),2)="ال",MID(TRIM(B404),3,1),LEFT(TRIM(B404),1)))</f>
        <v/>
      </c>
      <c r="M404">
        <f>IF(B404="","",LEN(TRIM(B404))-LEN(SUBSTITUTE(TRIM(B404)," ",""))+1)</f>
        <v/>
      </c>
      <c r="N404" t="inlineStr">
        <is>
          <t>Draft</t>
        </is>
      </c>
    </row>
    <row r="405">
      <c r="A405" t="n">
        <v>404</v>
      </c>
      <c r="B405" s="20" t="inlineStr">
        <is>
          <t>الليلة الكبيرة</t>
        </is>
      </c>
      <c r="C405" s="20" t="inlineStr">
        <is>
          <t>El Leila el Kebira</t>
        </is>
      </c>
      <c r="D405" s="20" t="inlineStr">
        <is>
          <t>Film</t>
        </is>
      </c>
      <c r="E405" s="20" t="n">
        <v>2015</v>
      </c>
      <c r="F405">
        <f>IF(E405="","",IF(E405&lt;1970,"Abyad w eswed",IF(E405&lt;2000,"70s-90s",IF(E405&lt;2015,"2000s","Gedeed"))))</f>
        <v/>
      </c>
      <c r="G405" s="20" t="inlineStr">
        <is>
          <t>Sa3b</t>
        </is>
      </c>
      <c r="H405" s="20" t="inlineStr">
        <is>
          <t>Drama</t>
        </is>
      </c>
      <c r="I405" s="20" t="inlineStr">
        <is>
          <t>سمية الخشاب</t>
        </is>
      </c>
      <c r="J405" s="20" t="inlineStr"/>
      <c r="K405" s="20" t="inlineStr"/>
      <c r="L405">
        <f>IF(B405="","",IF(LEFT(TRIM(B405),2)="ال",MID(TRIM(B405),3,1),LEFT(TRIM(B405),1)))</f>
        <v/>
      </c>
      <c r="M405">
        <f>IF(B405="","",LEN(TRIM(B405))-LEN(SUBSTITUTE(TRIM(B405)," ",""))+1)</f>
        <v/>
      </c>
      <c r="N405" t="inlineStr">
        <is>
          <t>Draft</t>
        </is>
      </c>
    </row>
    <row r="406">
      <c r="A406" t="n">
        <v>405</v>
      </c>
      <c r="B406" s="20" t="inlineStr">
        <is>
          <t>ليلة البيبي دول</t>
        </is>
      </c>
      <c r="C406" s="20" t="inlineStr">
        <is>
          <t>Leilet el Baby Doll</t>
        </is>
      </c>
      <c r="D406" s="20" t="inlineStr">
        <is>
          <t>Film</t>
        </is>
      </c>
      <c r="E406" s="20" t="n">
        <v>2008</v>
      </c>
      <c r="F406">
        <f>IF(E406="","",IF(E406&lt;1970,"Abyad w eswed",IF(E406&lt;2000,"70s-90s",IF(E406&lt;2015,"2000s","Gedeed"))))</f>
        <v/>
      </c>
      <c r="G406" s="20" t="inlineStr">
        <is>
          <t>Sa3b</t>
        </is>
      </c>
      <c r="H406" s="20" t="inlineStr">
        <is>
          <t>Drama</t>
        </is>
      </c>
      <c r="I406" s="20" t="inlineStr">
        <is>
          <t>محمود عبد العزيز</t>
        </is>
      </c>
      <c r="J406" s="20" t="inlineStr"/>
      <c r="K406" s="20" t="inlineStr"/>
      <c r="L406">
        <f>IF(B406="","",IF(LEFT(TRIM(B406),2)="ال",MID(TRIM(B406),3,1),LEFT(TRIM(B406),1)))</f>
        <v/>
      </c>
      <c r="M406">
        <f>IF(B406="","",LEN(TRIM(B406))-LEN(SUBSTITUTE(TRIM(B406)," ",""))+1)</f>
        <v/>
      </c>
      <c r="N406" t="inlineStr">
        <is>
          <t>Draft</t>
        </is>
      </c>
    </row>
    <row r="407">
      <c r="A407" t="n">
        <v>406</v>
      </c>
      <c r="B407" s="20" t="inlineStr">
        <is>
          <t>احكي يا شهرزاد</t>
        </is>
      </c>
      <c r="C407" s="20" t="inlineStr">
        <is>
          <t>E7ky ya Shahrazad</t>
        </is>
      </c>
      <c r="D407" s="20" t="inlineStr">
        <is>
          <t>Film</t>
        </is>
      </c>
      <c r="E407" s="20" t="n">
        <v>2009</v>
      </c>
      <c r="F407">
        <f>IF(E407="","",IF(E407&lt;1970,"Abyad w eswed",IF(E407&lt;2000,"70s-90s",IF(E407&lt;2015,"2000s","Gedeed"))))</f>
        <v/>
      </c>
      <c r="G407" s="20" t="inlineStr">
        <is>
          <t>Sa3b</t>
        </is>
      </c>
      <c r="H407" s="20" t="inlineStr">
        <is>
          <t>Drama</t>
        </is>
      </c>
      <c r="I407" s="20" t="inlineStr">
        <is>
          <t>منى زكي</t>
        </is>
      </c>
      <c r="J407" s="20" t="inlineStr"/>
      <c r="K407" s="20" t="inlineStr"/>
      <c r="L407">
        <f>IF(B407="","",IF(LEFT(TRIM(B407),2)="ال",MID(TRIM(B407),3,1),LEFT(TRIM(B407),1)))</f>
        <v/>
      </c>
      <c r="M407">
        <f>IF(B407="","",LEN(TRIM(B407))-LEN(SUBSTITUTE(TRIM(B407)," ",""))+1)</f>
        <v/>
      </c>
      <c r="N407" t="inlineStr">
        <is>
          <t>Draft</t>
        </is>
      </c>
    </row>
    <row r="408">
      <c r="A408" t="n">
        <v>407</v>
      </c>
      <c r="B408" s="20" t="inlineStr">
        <is>
          <t>ميكروفون</t>
        </is>
      </c>
      <c r="C408" s="20" t="inlineStr">
        <is>
          <t>Microphone</t>
        </is>
      </c>
      <c r="D408" s="20" t="inlineStr">
        <is>
          <t>Film</t>
        </is>
      </c>
      <c r="E408" s="20" t="n">
        <v>2010</v>
      </c>
      <c r="F408">
        <f>IF(E408="","",IF(E408&lt;1970,"Abyad w eswed",IF(E408&lt;2000,"70s-90s",IF(E408&lt;2015,"2000s","Gedeed"))))</f>
        <v/>
      </c>
      <c r="G408" s="20" t="inlineStr">
        <is>
          <t>Sa3b</t>
        </is>
      </c>
      <c r="H408" s="20" t="inlineStr">
        <is>
          <t>Drama</t>
        </is>
      </c>
      <c r="I408" s="20" t="inlineStr">
        <is>
          <t>خالد أبو النجا</t>
        </is>
      </c>
      <c r="J408" s="20" t="inlineStr"/>
      <c r="K408" s="20" t="inlineStr"/>
      <c r="L408">
        <f>IF(B408="","",IF(LEFT(TRIM(B408),2)="ال",MID(TRIM(B408),3,1),LEFT(TRIM(B408),1)))</f>
        <v/>
      </c>
      <c r="M408">
        <f>IF(B408="","",LEN(TRIM(B408))-LEN(SUBSTITUTE(TRIM(B408)," ",""))+1)</f>
        <v/>
      </c>
      <c r="N408" t="inlineStr">
        <is>
          <t>Draft</t>
        </is>
      </c>
    </row>
    <row r="409">
      <c r="A409" t="n">
        <v>408</v>
      </c>
      <c r="B409" s="20" t="inlineStr">
        <is>
          <t>رسائل البحر</t>
        </is>
      </c>
      <c r="C409" s="20" t="inlineStr">
        <is>
          <t>Rasa2el el Ba7r</t>
        </is>
      </c>
      <c r="D409" s="20" t="inlineStr">
        <is>
          <t>Film</t>
        </is>
      </c>
      <c r="E409" s="20" t="n">
        <v>2010</v>
      </c>
      <c r="F409">
        <f>IF(E409="","",IF(E409&lt;1970,"Abyad w eswed",IF(E409&lt;2000,"70s-90s",IF(E409&lt;2015,"2000s","Gedeed"))))</f>
        <v/>
      </c>
      <c r="G409" s="20" t="inlineStr">
        <is>
          <t>Sa3b</t>
        </is>
      </c>
      <c r="H409" s="20" t="inlineStr">
        <is>
          <t>Drama</t>
        </is>
      </c>
      <c r="I409" s="20" t="inlineStr">
        <is>
          <t>آسر ياسين</t>
        </is>
      </c>
      <c r="J409" s="20" t="inlineStr"/>
      <c r="K409" s="20" t="inlineStr"/>
      <c r="L409">
        <f>IF(B409="","",IF(LEFT(TRIM(B409),2)="ال",MID(TRIM(B409),3,1),LEFT(TRIM(B409),1)))</f>
        <v/>
      </c>
      <c r="M409">
        <f>IF(B409="","",LEN(TRIM(B409))-LEN(SUBSTITUTE(TRIM(B409)," ",""))+1)</f>
        <v/>
      </c>
      <c r="N409" t="inlineStr">
        <is>
          <t>Draft</t>
        </is>
      </c>
    </row>
    <row r="410">
      <c r="A410" t="n">
        <v>409</v>
      </c>
      <c r="B410" s="20" t="inlineStr">
        <is>
          <t>عصافير النيل</t>
        </is>
      </c>
      <c r="C410" s="20" t="inlineStr">
        <is>
          <t>3asafeer el Nil</t>
        </is>
      </c>
      <c r="D410" s="20" t="inlineStr">
        <is>
          <t>Film</t>
        </is>
      </c>
      <c r="E410" s="20" t="n">
        <v>2010</v>
      </c>
      <c r="F410">
        <f>IF(E410="","",IF(E410&lt;1970,"Abyad w eswed",IF(E410&lt;2000,"70s-90s",IF(E410&lt;2015,"2000s","Gedeed"))))</f>
        <v/>
      </c>
      <c r="G410" s="20" t="inlineStr">
        <is>
          <t>Sa3b</t>
        </is>
      </c>
      <c r="H410" s="20" t="inlineStr">
        <is>
          <t>Drama</t>
        </is>
      </c>
      <c r="I410" s="20" t="inlineStr">
        <is>
          <t>فتحي عبد الوهاب</t>
        </is>
      </c>
      <c r="J410" s="20" t="inlineStr"/>
      <c r="K410" s="20" t="inlineStr"/>
      <c r="L410">
        <f>IF(B410="","",IF(LEFT(TRIM(B410),2)="ال",MID(TRIM(B410),3,1),LEFT(TRIM(B410),1)))</f>
        <v/>
      </c>
      <c r="M410">
        <f>IF(B410="","",LEN(TRIM(B410))-LEN(SUBSTITUTE(TRIM(B410)," ",""))+1)</f>
        <v/>
      </c>
      <c r="N410" t="inlineStr">
        <is>
          <t>Draft</t>
        </is>
      </c>
    </row>
    <row r="411">
      <c r="A411" t="n">
        <v>410</v>
      </c>
      <c r="B411" s="20" t="inlineStr">
        <is>
          <t>678</t>
        </is>
      </c>
      <c r="C411" s="20" t="inlineStr">
        <is>
          <t>678</t>
        </is>
      </c>
      <c r="D411" s="20" t="inlineStr">
        <is>
          <t>Film</t>
        </is>
      </c>
      <c r="E411" s="20" t="n">
        <v>2010</v>
      </c>
      <c r="F411">
        <f>IF(E411="","",IF(E411&lt;1970,"Abyad w eswed",IF(E411&lt;2000,"70s-90s",IF(E411&lt;2015,"2000s","Gedeed"))))</f>
        <v/>
      </c>
      <c r="G411" s="20" t="inlineStr">
        <is>
          <t>Sa3b</t>
        </is>
      </c>
      <c r="H411" s="20" t="inlineStr">
        <is>
          <t>Drama</t>
        </is>
      </c>
      <c r="I411" s="20" t="inlineStr">
        <is>
          <t>بشرى</t>
        </is>
      </c>
      <c r="J411" s="20" t="inlineStr"/>
      <c r="K411" s="20" t="inlineStr"/>
      <c r="L411">
        <f>IF(B411="","",IF(LEFT(TRIM(B411),2)="ال",MID(TRIM(B411),3,1),LEFT(TRIM(B411),1)))</f>
        <v/>
      </c>
      <c r="M411">
        <f>IF(B411="","",LEN(TRIM(B411))-LEN(SUBSTITUTE(TRIM(B411)," ",""))+1)</f>
        <v/>
      </c>
      <c r="N411" t="inlineStr">
        <is>
          <t>Draft</t>
        </is>
      </c>
    </row>
    <row r="412">
      <c r="A412" t="n">
        <v>411</v>
      </c>
      <c r="B412" s="20" t="inlineStr">
        <is>
          <t>الشوق</t>
        </is>
      </c>
      <c r="C412" s="20" t="inlineStr">
        <is>
          <t>El Shoo2</t>
        </is>
      </c>
      <c r="D412" s="20" t="inlineStr">
        <is>
          <t>Film</t>
        </is>
      </c>
      <c r="E412" s="20" t="n">
        <v>2010</v>
      </c>
      <c r="F412">
        <f>IF(E412="","",IF(E412&lt;1970,"Abyad w eswed",IF(E412&lt;2000,"70s-90s",IF(E412&lt;2015,"2000s","Gedeed"))))</f>
        <v/>
      </c>
      <c r="G412" s="20" t="inlineStr">
        <is>
          <t>Sa3b</t>
        </is>
      </c>
      <c r="H412" s="20" t="inlineStr">
        <is>
          <t>Drama</t>
        </is>
      </c>
      <c r="I412" s="20" t="inlineStr">
        <is>
          <t>سوسن بدر</t>
        </is>
      </c>
      <c r="J412" s="20" t="inlineStr"/>
      <c r="K412" s="20" t="inlineStr"/>
      <c r="L412">
        <f>IF(B412="","",IF(LEFT(TRIM(B412),2)="ال",MID(TRIM(B412),3,1),LEFT(TRIM(B412),1)))</f>
        <v/>
      </c>
      <c r="M412">
        <f>IF(B412="","",LEN(TRIM(B412))-LEN(SUBSTITUTE(TRIM(B412)," ",""))+1)</f>
        <v/>
      </c>
      <c r="N412" t="inlineStr">
        <is>
          <t>Draft</t>
        </is>
      </c>
    </row>
    <row r="413">
      <c r="A413" t="n">
        <v>412</v>
      </c>
      <c r="B413" s="20" t="inlineStr">
        <is>
          <t>المسافر</t>
        </is>
      </c>
      <c r="C413" s="20" t="inlineStr">
        <is>
          <t>El Mosafer</t>
        </is>
      </c>
      <c r="D413" s="20" t="inlineStr">
        <is>
          <t>Film</t>
        </is>
      </c>
      <c r="E413" s="20" t="n">
        <v>2009</v>
      </c>
      <c r="F413">
        <f>IF(E413="","",IF(E413&lt;1970,"Abyad w eswed",IF(E413&lt;2000,"70s-90s",IF(E413&lt;2015,"2000s","Gedeed"))))</f>
        <v/>
      </c>
      <c r="G413" s="20" t="inlineStr">
        <is>
          <t>Sa3b</t>
        </is>
      </c>
      <c r="H413" s="20" t="inlineStr">
        <is>
          <t>Drama</t>
        </is>
      </c>
      <c r="I413" s="20" t="inlineStr">
        <is>
          <t>عمر الشريف</t>
        </is>
      </c>
      <c r="J413" s="20" t="inlineStr"/>
      <c r="K413" s="20" t="inlineStr"/>
      <c r="L413">
        <f>IF(B413="","",IF(LEFT(TRIM(B413),2)="ال",MID(TRIM(B413),3,1),LEFT(TRIM(B413),1)))</f>
        <v/>
      </c>
      <c r="M413">
        <f>IF(B413="","",LEN(TRIM(B413))-LEN(SUBSTITUTE(TRIM(B413)," ",""))+1)</f>
        <v/>
      </c>
      <c r="N413" t="inlineStr">
        <is>
          <t>Draft</t>
        </is>
      </c>
    </row>
    <row r="414">
      <c r="A414" t="n">
        <v>413</v>
      </c>
      <c r="B414" s="20" t="inlineStr">
        <is>
          <t>الشاطر</t>
        </is>
      </c>
      <c r="C414" s="20" t="inlineStr">
        <is>
          <t>El Shater</t>
        </is>
      </c>
      <c r="D414" s="20" t="inlineStr">
        <is>
          <t>Film</t>
        </is>
      </c>
      <c r="E414" s="20" t="n">
        <v>2025</v>
      </c>
      <c r="F414">
        <f>IF(E414="","",IF(E414&lt;1970,"Abyad w eswed",IF(E414&lt;2000,"70s-90s",IF(E414&lt;2015,"2000s","Gedeed"))))</f>
        <v/>
      </c>
      <c r="G414" s="20" t="inlineStr">
        <is>
          <t>Wasat</t>
        </is>
      </c>
      <c r="H414" s="20" t="inlineStr">
        <is>
          <t>Action</t>
        </is>
      </c>
      <c r="I414" s="20" t="inlineStr">
        <is>
          <t>أمير كرارة</t>
        </is>
      </c>
      <c r="J414" s="20" t="inlineStr"/>
      <c r="K414" s="20" t="inlineStr"/>
      <c r="L414">
        <f>IF(B414="","",IF(LEFT(TRIM(B414),2)="ال",MID(TRIM(B414),3,1),LEFT(TRIM(B414),1)))</f>
        <v/>
      </c>
      <c r="M414">
        <f>IF(B414="","",LEN(TRIM(B414))-LEN(SUBSTITUTE(TRIM(B414)," ",""))+1)</f>
        <v/>
      </c>
      <c r="N414" t="inlineStr">
        <is>
          <t>Draft</t>
        </is>
      </c>
    </row>
    <row r="415">
      <c r="A415" t="n">
        <v>414</v>
      </c>
      <c r="B415" s="20" t="inlineStr">
        <is>
          <t>فاصل من اللحظات اللذيذة</t>
        </is>
      </c>
      <c r="C415" s="20" t="inlineStr">
        <is>
          <t>Fasel men el La7azat el Lazeeza</t>
        </is>
      </c>
      <c r="D415" s="20" t="inlineStr">
        <is>
          <t>Film</t>
        </is>
      </c>
      <c r="E415" s="20" t="n">
        <v>2016</v>
      </c>
      <c r="F415">
        <f>IF(E415="","",IF(E415&lt;1970,"Abyad w eswed",IF(E415&lt;2000,"70s-90s",IF(E415&lt;2015,"2000s","Gedeed"))))</f>
        <v/>
      </c>
      <c r="G415" s="20" t="inlineStr">
        <is>
          <t>Wasat</t>
        </is>
      </c>
      <c r="H415" s="20" t="inlineStr">
        <is>
          <t>Comedy</t>
        </is>
      </c>
      <c r="I415" s="20" t="inlineStr">
        <is>
          <t>هشام ماجد</t>
        </is>
      </c>
      <c r="J415" s="20" t="inlineStr"/>
      <c r="K415" s="20" t="inlineStr"/>
      <c r="L415">
        <f>IF(B415="","",IF(LEFT(TRIM(B415),2)="ال",MID(TRIM(B415),3,1),LEFT(TRIM(B415),1)))</f>
        <v/>
      </c>
      <c r="M415">
        <f>IF(B415="","",LEN(TRIM(B415))-LEN(SUBSTITUTE(TRIM(B415)," ",""))+1)</f>
        <v/>
      </c>
      <c r="N415" t="inlineStr">
        <is>
          <t>Draft</t>
        </is>
      </c>
    </row>
    <row r="416">
      <c r="A416" t="n">
        <v>415</v>
      </c>
      <c r="B416" s="20" t="inlineStr">
        <is>
          <t>تسليم أهالي</t>
        </is>
      </c>
      <c r="C416" s="20" t="inlineStr">
        <is>
          <t>Tasleem Ahaly</t>
        </is>
      </c>
      <c r="D416" s="20" t="inlineStr">
        <is>
          <t>Film</t>
        </is>
      </c>
      <c r="E416" s="20" t="n">
        <v>2022</v>
      </c>
      <c r="F416">
        <f>IF(E416="","",IF(E416&lt;1970,"Abyad w eswed",IF(E416&lt;2000,"70s-90s",IF(E416&lt;2015,"2000s","Gedeed"))))</f>
        <v/>
      </c>
      <c r="G416" s="20" t="inlineStr">
        <is>
          <t>Wasat</t>
        </is>
      </c>
      <c r="H416" s="20" t="inlineStr">
        <is>
          <t>Comedy</t>
        </is>
      </c>
      <c r="I416" s="20" t="inlineStr">
        <is>
          <t>هشام ماجد</t>
        </is>
      </c>
      <c r="J416" s="20" t="inlineStr"/>
      <c r="K416" s="20" t="inlineStr"/>
      <c r="L416">
        <f>IF(B416="","",IF(LEFT(TRIM(B416),2)="ال",MID(TRIM(B416),3,1),LEFT(TRIM(B416),1)))</f>
        <v/>
      </c>
      <c r="M416">
        <f>IF(B416="","",LEN(TRIM(B416))-LEN(SUBSTITUTE(TRIM(B416)," ",""))+1)</f>
        <v/>
      </c>
      <c r="N416" t="inlineStr">
        <is>
          <t>Draft</t>
        </is>
      </c>
    </row>
    <row r="417">
      <c r="A417" t="n">
        <v>416</v>
      </c>
      <c r="B417" s="20" t="inlineStr">
        <is>
          <t>حامل اللقب</t>
        </is>
      </c>
      <c r="C417" s="20" t="inlineStr">
        <is>
          <t>7amel el La2ab</t>
        </is>
      </c>
      <c r="D417" s="20" t="inlineStr">
        <is>
          <t>Film</t>
        </is>
      </c>
      <c r="E417" s="20" t="n">
        <v>2023</v>
      </c>
      <c r="F417">
        <f>IF(E417="","",IF(E417&lt;1970,"Abyad w eswed",IF(E417&lt;2000,"70s-90s",IF(E417&lt;2015,"2000s","Gedeed"))))</f>
        <v/>
      </c>
      <c r="G417" s="20" t="inlineStr">
        <is>
          <t>Wasat</t>
        </is>
      </c>
      <c r="H417" s="20" t="inlineStr">
        <is>
          <t>Comedy</t>
        </is>
      </c>
      <c r="I417" s="20" t="inlineStr">
        <is>
          <t>هشام ماجد</t>
        </is>
      </c>
      <c r="J417" s="20" t="inlineStr"/>
      <c r="K417" s="20" t="inlineStr"/>
      <c r="L417">
        <f>IF(B417="","",IF(LEFT(TRIM(B417),2)="ال",MID(TRIM(B417),3,1),LEFT(TRIM(B417),1)))</f>
        <v/>
      </c>
      <c r="M417">
        <f>IF(B417="","",LEN(TRIM(B417))-LEN(SUBSTITUTE(TRIM(B417)," ",""))+1)</f>
        <v/>
      </c>
      <c r="N417" t="inlineStr">
        <is>
          <t>Draft</t>
        </is>
      </c>
    </row>
    <row r="418">
      <c r="A418" t="n">
        <v>417</v>
      </c>
      <c r="B418" s="20" t="inlineStr">
        <is>
          <t>إكس مراتي</t>
        </is>
      </c>
      <c r="C418" s="20" t="inlineStr">
        <is>
          <t>Ex Merati</t>
        </is>
      </c>
      <c r="D418" s="20" t="inlineStr">
        <is>
          <t>Film</t>
        </is>
      </c>
      <c r="E418" s="20" t="n">
        <v>2024</v>
      </c>
      <c r="F418">
        <f>IF(E418="","",IF(E418&lt;1970,"Abyad w eswed",IF(E418&lt;2000,"70s-90s",IF(E418&lt;2015,"2000s","Gedeed"))))</f>
        <v/>
      </c>
      <c r="G418" s="20" t="inlineStr">
        <is>
          <t>Wasat</t>
        </is>
      </c>
      <c r="H418" s="20" t="inlineStr">
        <is>
          <t>Comedy</t>
        </is>
      </c>
      <c r="I418" s="20" t="inlineStr">
        <is>
          <t>هشام ماجد</t>
        </is>
      </c>
      <c r="J418" s="20" t="inlineStr"/>
      <c r="K418" s="20" t="inlineStr"/>
      <c r="L418">
        <f>IF(B418="","",IF(LEFT(TRIM(B418),2)="ال",MID(TRIM(B418),3,1),LEFT(TRIM(B418),1)))</f>
        <v/>
      </c>
      <c r="M418">
        <f>IF(B418="","",LEN(TRIM(B418))-LEN(SUBSTITUTE(TRIM(B418)," ",""))+1)</f>
        <v/>
      </c>
      <c r="N418" t="inlineStr">
        <is>
          <t>Draft</t>
        </is>
      </c>
    </row>
    <row r="419">
      <c r="A419" t="n">
        <v>418</v>
      </c>
      <c r="B419" s="20" t="inlineStr">
        <is>
          <t>الكويسين</t>
        </is>
      </c>
      <c r="C419" s="20" t="inlineStr">
        <is>
          <t>El Kwayseen</t>
        </is>
      </c>
      <c r="D419" s="20" t="inlineStr">
        <is>
          <t>Film</t>
        </is>
      </c>
      <c r="E419" s="20" t="n">
        <v>2018</v>
      </c>
      <c r="F419">
        <f>IF(E419="","",IF(E419&lt;1970,"Abyad w eswed",IF(E419&lt;2000,"70s-90s",IF(E419&lt;2015,"2000s","Gedeed"))))</f>
        <v/>
      </c>
      <c r="G419" s="20" t="inlineStr">
        <is>
          <t>Wasat</t>
        </is>
      </c>
      <c r="H419" s="20" t="inlineStr">
        <is>
          <t>Comedy</t>
        </is>
      </c>
      <c r="I419" s="20" t="inlineStr">
        <is>
          <t>أحمد فهمي</t>
        </is>
      </c>
      <c r="J419" s="20" t="inlineStr"/>
      <c r="K419" s="20" t="inlineStr"/>
      <c r="L419">
        <f>IF(B419="","",IF(LEFT(TRIM(B419),2)="ال",MID(TRIM(B419),3,1),LEFT(TRIM(B419),1)))</f>
        <v/>
      </c>
      <c r="M419">
        <f>IF(B419="","",LEN(TRIM(B419))-LEN(SUBSTITUTE(TRIM(B419)," ",""))+1)</f>
        <v/>
      </c>
      <c r="N419" t="inlineStr">
        <is>
          <t>Draft</t>
        </is>
      </c>
    </row>
    <row r="420">
      <c r="A420" t="n">
        <v>419</v>
      </c>
      <c r="B420" s="20" t="inlineStr">
        <is>
          <t>عصابة الماكس</t>
        </is>
      </c>
      <c r="C420" s="20" t="inlineStr">
        <is>
          <t>3esabet el Max</t>
        </is>
      </c>
      <c r="D420" s="20" t="inlineStr">
        <is>
          <t>Film</t>
        </is>
      </c>
      <c r="E420" s="20" t="n">
        <v>2024</v>
      </c>
      <c r="F420">
        <f>IF(E420="","",IF(E420&lt;1970,"Abyad w eswed",IF(E420&lt;2000,"70s-90s",IF(E420&lt;2015,"2000s","Gedeed"))))</f>
        <v/>
      </c>
      <c r="G420" s="20" t="inlineStr">
        <is>
          <t>Wasat</t>
        </is>
      </c>
      <c r="H420" s="20" t="inlineStr">
        <is>
          <t>Comedy</t>
        </is>
      </c>
      <c r="I420" s="20" t="inlineStr">
        <is>
          <t>أحمد فهمي</t>
        </is>
      </c>
      <c r="J420" s="20" t="inlineStr"/>
      <c r="K420" s="20" t="inlineStr"/>
      <c r="L420">
        <f>IF(B420="","",IF(LEFT(TRIM(B420),2)="ال",MID(TRIM(B420),3,1),LEFT(TRIM(B420),1)))</f>
        <v/>
      </c>
      <c r="M420">
        <f>IF(B420="","",LEN(TRIM(B420))-LEN(SUBSTITUTE(TRIM(B420)," ",""))+1)</f>
        <v/>
      </c>
      <c r="N420" t="inlineStr">
        <is>
          <t>Draft</t>
        </is>
      </c>
    </row>
    <row r="421">
      <c r="A421" t="n">
        <v>420</v>
      </c>
      <c r="B421" s="20" t="inlineStr">
        <is>
          <t>ثانية واحدة</t>
        </is>
      </c>
      <c r="C421" s="20" t="inlineStr">
        <is>
          <t>Tanya Wa7da</t>
        </is>
      </c>
      <c r="D421" s="20" t="inlineStr">
        <is>
          <t>Film</t>
        </is>
      </c>
      <c r="E421" s="20" t="n">
        <v>2015</v>
      </c>
      <c r="F421">
        <f>IF(E421="","",IF(E421&lt;1970,"Abyad w eswed",IF(E421&lt;2000,"70s-90s",IF(E421&lt;2015,"2000s","Gedeed"))))</f>
        <v/>
      </c>
      <c r="G421" s="20" t="inlineStr">
        <is>
          <t>Sa3b</t>
        </is>
      </c>
      <c r="H421" s="20" t="inlineStr">
        <is>
          <t>Comedy</t>
        </is>
      </c>
      <c r="I421" s="20" t="inlineStr">
        <is>
          <t>دنيا سمير غانم</t>
        </is>
      </c>
      <c r="J421" s="20" t="inlineStr"/>
      <c r="K421" s="20" t="inlineStr"/>
      <c r="L421">
        <f>IF(B421="","",IF(LEFT(TRIM(B421),2)="ال",MID(TRIM(B421),3,1),LEFT(TRIM(B421),1)))</f>
        <v/>
      </c>
      <c r="M421">
        <f>IF(B421="","",LEN(TRIM(B421))-LEN(SUBSTITUTE(TRIM(B421)," ",""))+1)</f>
        <v/>
      </c>
      <c r="N421" t="inlineStr">
        <is>
          <t>Draft</t>
        </is>
      </c>
    </row>
    <row r="422">
      <c r="A422" t="n">
        <v>421</v>
      </c>
      <c r="B422" s="20" t="inlineStr">
        <is>
          <t>بشتري راجل</t>
        </is>
      </c>
      <c r="C422" s="20" t="inlineStr">
        <is>
          <t>Bashtery Ragel</t>
        </is>
      </c>
      <c r="D422" s="20" t="inlineStr">
        <is>
          <t>Film</t>
        </is>
      </c>
      <c r="E422" s="20" t="n">
        <v>2017</v>
      </c>
      <c r="F422">
        <f>IF(E422="","",IF(E422&lt;1970,"Abyad w eswed",IF(E422&lt;2000,"70s-90s",IF(E422&lt;2015,"2000s","Gedeed"))))</f>
        <v/>
      </c>
      <c r="G422" s="20" t="inlineStr">
        <is>
          <t>Wasat</t>
        </is>
      </c>
      <c r="H422" s="20" t="inlineStr">
        <is>
          <t>Comedy</t>
        </is>
      </c>
      <c r="I422" s="20" t="inlineStr">
        <is>
          <t>نيللي كريم</t>
        </is>
      </c>
      <c r="J422" s="20" t="inlineStr"/>
      <c r="K422" s="20" t="inlineStr"/>
      <c r="L422">
        <f>IF(B422="","",IF(LEFT(TRIM(B422),2)="ال",MID(TRIM(B422),3,1),LEFT(TRIM(B422),1)))</f>
        <v/>
      </c>
      <c r="M422">
        <f>IF(B422="","",LEN(TRIM(B422))-LEN(SUBSTITUTE(TRIM(B422)," ",""))+1)</f>
        <v/>
      </c>
      <c r="N422" t="inlineStr">
        <is>
          <t>Draft</t>
        </is>
      </c>
    </row>
    <row r="423">
      <c r="A423" t="n">
        <v>422</v>
      </c>
      <c r="B423" s="20" t="inlineStr">
        <is>
          <t>جحيم في الهند</t>
        </is>
      </c>
      <c r="C423" s="20" t="inlineStr">
        <is>
          <t>Ga7eem fel Hend</t>
        </is>
      </c>
      <c r="D423" s="20" t="inlineStr">
        <is>
          <t>Film</t>
        </is>
      </c>
      <c r="E423" s="20" t="n">
        <v>2016</v>
      </c>
      <c r="F423">
        <f>IF(E423="","",IF(E423&lt;1970,"Abyad w eswed",IF(E423&lt;2000,"70s-90s",IF(E423&lt;2015,"2000s","Gedeed"))))</f>
        <v/>
      </c>
      <c r="G423" s="20" t="inlineStr">
        <is>
          <t>Wasat</t>
        </is>
      </c>
      <c r="H423" s="20" t="inlineStr">
        <is>
          <t>Comedy</t>
        </is>
      </c>
      <c r="I423" s="20" t="inlineStr">
        <is>
          <t>محمد إمام</t>
        </is>
      </c>
      <c r="J423" s="20" t="inlineStr"/>
      <c r="K423" s="20" t="inlineStr"/>
      <c r="L423">
        <f>IF(B423="","",IF(LEFT(TRIM(B423),2)="ال",MID(TRIM(B423),3,1),LEFT(TRIM(B423),1)))</f>
        <v/>
      </c>
      <c r="M423">
        <f>IF(B423="","",LEN(TRIM(B423))-LEN(SUBSTITUTE(TRIM(B423)," ",""))+1)</f>
        <v/>
      </c>
      <c r="N423" t="inlineStr">
        <is>
          <t>Draft</t>
        </is>
      </c>
    </row>
    <row r="424">
      <c r="A424" t="n">
        <v>423</v>
      </c>
      <c r="B424" s="20" t="inlineStr">
        <is>
          <t>ليلة هنا وسرور</t>
        </is>
      </c>
      <c r="C424" s="20" t="inlineStr">
        <is>
          <t>Leila Hana w Sorour</t>
        </is>
      </c>
      <c r="D424" s="20" t="inlineStr">
        <is>
          <t>Film</t>
        </is>
      </c>
      <c r="E424" s="20" t="n">
        <v>2018</v>
      </c>
      <c r="F424">
        <f>IF(E424="","",IF(E424&lt;1970,"Abyad w eswed",IF(E424&lt;2000,"70s-90s",IF(E424&lt;2015,"2000s","Gedeed"))))</f>
        <v/>
      </c>
      <c r="G424" s="20" t="inlineStr">
        <is>
          <t>Wasat</t>
        </is>
      </c>
      <c r="H424" s="20" t="inlineStr">
        <is>
          <t>Comedy</t>
        </is>
      </c>
      <c r="I424" s="20" t="inlineStr">
        <is>
          <t>محمد إمام</t>
        </is>
      </c>
      <c r="J424" s="20" t="inlineStr"/>
      <c r="K424" s="20" t="inlineStr"/>
      <c r="L424">
        <f>IF(B424="","",IF(LEFT(TRIM(B424),2)="ال",MID(TRIM(B424),3,1),LEFT(TRIM(B424),1)))</f>
        <v/>
      </c>
      <c r="M424">
        <f>IF(B424="","",LEN(TRIM(B424))-LEN(SUBSTITUTE(TRIM(B424)," ",""))+1)</f>
        <v/>
      </c>
      <c r="N424" t="inlineStr">
        <is>
          <t>Draft</t>
        </is>
      </c>
    </row>
    <row r="425">
      <c r="A425" t="n">
        <v>424</v>
      </c>
      <c r="B425" s="20" t="inlineStr">
        <is>
          <t>البيه رومانسي</t>
        </is>
      </c>
      <c r="C425" s="20" t="inlineStr">
        <is>
          <t>El Beih Romancy</t>
        </is>
      </c>
      <c r="D425" s="20" t="inlineStr">
        <is>
          <t>Film</t>
        </is>
      </c>
      <c r="E425" s="20" t="n">
        <v>2009</v>
      </c>
      <c r="F425">
        <f>IF(E425="","",IF(E425&lt;1970,"Abyad w eswed",IF(E425&lt;2000,"70s-90s",IF(E425&lt;2015,"2000s","Gedeed"))))</f>
        <v/>
      </c>
      <c r="G425" s="20" t="inlineStr">
        <is>
          <t>Sa3b</t>
        </is>
      </c>
      <c r="H425" s="20" t="inlineStr">
        <is>
          <t>Comedy</t>
        </is>
      </c>
      <c r="I425" s="20" t="inlineStr">
        <is>
          <t>محمد إمام</t>
        </is>
      </c>
      <c r="J425" s="20" t="inlineStr"/>
      <c r="K425" s="20" t="inlineStr"/>
      <c r="L425">
        <f>IF(B425="","",IF(LEFT(TRIM(B425),2)="ال",MID(TRIM(B425),3,1),LEFT(TRIM(B425),1)))</f>
        <v/>
      </c>
      <c r="M425">
        <f>IF(B425="","",LEN(TRIM(B425))-LEN(SUBSTITUTE(TRIM(B425)," ",""))+1)</f>
        <v/>
      </c>
      <c r="N425" t="inlineStr">
        <is>
          <t>Draft</t>
        </is>
      </c>
    </row>
    <row r="426">
      <c r="A426" t="n">
        <v>425</v>
      </c>
      <c r="B426" s="20" t="inlineStr">
        <is>
          <t>عمهم</t>
        </is>
      </c>
      <c r="C426" s="20" t="inlineStr">
        <is>
          <t>3amohom</t>
        </is>
      </c>
      <c r="D426" s="20" t="inlineStr">
        <is>
          <t>Film</t>
        </is>
      </c>
      <c r="E426" s="20" t="n">
        <v>2022</v>
      </c>
      <c r="F426">
        <f>IF(E426="","",IF(E426&lt;1970,"Abyad w eswed",IF(E426&lt;2000,"70s-90s",IF(E426&lt;2015,"2000s","Gedeed"))))</f>
        <v/>
      </c>
      <c r="G426" s="20" t="inlineStr">
        <is>
          <t>Wasat</t>
        </is>
      </c>
      <c r="H426" s="20" t="inlineStr">
        <is>
          <t>Comedy</t>
        </is>
      </c>
      <c r="I426" s="20" t="inlineStr">
        <is>
          <t>محمد إمام</t>
        </is>
      </c>
      <c r="J426" s="20" t="inlineStr"/>
      <c r="K426" s="20" t="inlineStr"/>
      <c r="L426">
        <f>IF(B426="","",IF(LEFT(TRIM(B426),2)="ال",MID(TRIM(B426),3,1),LEFT(TRIM(B426),1)))</f>
        <v/>
      </c>
      <c r="M426">
        <f>IF(B426="","",LEN(TRIM(B426))-LEN(SUBSTITUTE(TRIM(B426)," ",""))+1)</f>
        <v/>
      </c>
      <c r="N426" t="inlineStr">
        <is>
          <t>Draft</t>
        </is>
      </c>
    </row>
    <row r="427">
      <c r="A427" t="n">
        <v>426</v>
      </c>
      <c r="B427" s="20" t="inlineStr">
        <is>
          <t>اللعب مع العيال</t>
        </is>
      </c>
      <c r="C427" s="20" t="inlineStr">
        <is>
          <t>El La3b ma3 el 3eyal</t>
        </is>
      </c>
      <c r="D427" s="20" t="inlineStr">
        <is>
          <t>Film</t>
        </is>
      </c>
      <c r="E427" s="20" t="n">
        <v>2024</v>
      </c>
      <c r="F427">
        <f>IF(E427="","",IF(E427&lt;1970,"Abyad w eswed",IF(E427&lt;2000,"70s-90s",IF(E427&lt;2015,"2000s","Gedeed"))))</f>
        <v/>
      </c>
      <c r="G427" s="20" t="inlineStr">
        <is>
          <t>Wasat</t>
        </is>
      </c>
      <c r="H427" s="20" t="inlineStr">
        <is>
          <t>Comedy</t>
        </is>
      </c>
      <c r="I427" s="20" t="inlineStr">
        <is>
          <t>محمد إمام</t>
        </is>
      </c>
      <c r="J427" s="20" t="inlineStr"/>
      <c r="K427" s="20" t="inlineStr"/>
      <c r="L427">
        <f>IF(B427="","",IF(LEFT(TRIM(B427),2)="ال",MID(TRIM(B427),3,1),LEFT(TRIM(B427),1)))</f>
        <v/>
      </c>
      <c r="M427">
        <f>IF(B427="","",LEN(TRIM(B427))-LEN(SUBSTITUTE(TRIM(B427)," ",""))+1)</f>
        <v/>
      </c>
      <c r="N427" t="inlineStr">
        <is>
          <t>Draft</t>
        </is>
      </c>
    </row>
    <row r="428">
      <c r="A428" t="n">
        <v>427</v>
      </c>
      <c r="B428" s="20" t="inlineStr">
        <is>
          <t>حماتي بتحبني</t>
        </is>
      </c>
      <c r="C428" s="20" t="inlineStr">
        <is>
          <t>7amaty Bet7ebeny</t>
        </is>
      </c>
      <c r="D428" s="20" t="inlineStr">
        <is>
          <t>Film</t>
        </is>
      </c>
      <c r="E428" s="20" t="n">
        <v>2014</v>
      </c>
      <c r="F428">
        <f>IF(E428="","",IF(E428&lt;1970,"Abyad w eswed",IF(E428&lt;2000,"70s-90s",IF(E428&lt;2015,"2000s","Gedeed"))))</f>
        <v/>
      </c>
      <c r="G428" s="20" t="inlineStr">
        <is>
          <t>Wasat</t>
        </is>
      </c>
      <c r="H428" s="20" t="inlineStr">
        <is>
          <t>Comedy</t>
        </is>
      </c>
      <c r="I428" s="20" t="inlineStr">
        <is>
          <t>ميرفت أمين</t>
        </is>
      </c>
      <c r="J428" s="20" t="inlineStr"/>
      <c r="K428" s="20" t="inlineStr"/>
      <c r="L428">
        <f>IF(B428="","",IF(LEFT(TRIM(B428),2)="ال",MID(TRIM(B428),3,1),LEFT(TRIM(B428),1)))</f>
        <v/>
      </c>
      <c r="M428">
        <f>IF(B428="","",LEN(TRIM(B428))-LEN(SUBSTITUTE(TRIM(B428)," ",""))+1)</f>
        <v/>
      </c>
      <c r="N428" t="inlineStr">
        <is>
          <t>Draft</t>
        </is>
      </c>
    </row>
    <row r="429">
      <c r="A429" t="n">
        <v>428</v>
      </c>
      <c r="B429" s="20" t="inlineStr">
        <is>
          <t>زنقة ستات</t>
        </is>
      </c>
      <c r="C429" s="20" t="inlineStr">
        <is>
          <t>Zan2et Sttat</t>
        </is>
      </c>
      <c r="D429" s="20" t="inlineStr">
        <is>
          <t>Film</t>
        </is>
      </c>
      <c r="E429" s="20" t="n">
        <v>2015</v>
      </c>
      <c r="F429">
        <f>IF(E429="","",IF(E429&lt;1970,"Abyad w eswed",IF(E429&lt;2000,"70s-90s",IF(E429&lt;2015,"2000s","Gedeed"))))</f>
        <v/>
      </c>
      <c r="G429" s="20" t="inlineStr">
        <is>
          <t>Wasat</t>
        </is>
      </c>
      <c r="H429" s="20" t="inlineStr">
        <is>
          <t>Comedy</t>
        </is>
      </c>
      <c r="I429" s="20" t="inlineStr">
        <is>
          <t>حسن الرداد</t>
        </is>
      </c>
      <c r="J429" s="20" t="inlineStr"/>
      <c r="K429" s="20" t="inlineStr"/>
      <c r="L429">
        <f>IF(B429="","",IF(LEFT(TRIM(B429),2)="ال",MID(TRIM(B429),3,1),LEFT(TRIM(B429),1)))</f>
        <v/>
      </c>
      <c r="M429">
        <f>IF(B429="","",LEN(TRIM(B429))-LEN(SUBSTITUTE(TRIM(B429)," ",""))+1)</f>
        <v/>
      </c>
      <c r="N429" t="inlineStr">
        <is>
          <t>Draft</t>
        </is>
      </c>
    </row>
    <row r="430">
      <c r="A430" t="n">
        <v>429</v>
      </c>
      <c r="B430" s="20" t="inlineStr">
        <is>
          <t>البس عشان خارجين</t>
        </is>
      </c>
      <c r="C430" s="20" t="inlineStr">
        <is>
          <t>Elbes 3ashan Khargeen</t>
        </is>
      </c>
      <c r="D430" s="20" t="inlineStr">
        <is>
          <t>Film</t>
        </is>
      </c>
      <c r="E430" s="20" t="n">
        <v>2017</v>
      </c>
      <c r="F430">
        <f>IF(E430="","",IF(E430&lt;1970,"Abyad w eswed",IF(E430&lt;2000,"70s-90s",IF(E430&lt;2015,"2000s","Gedeed"))))</f>
        <v/>
      </c>
      <c r="G430" s="20" t="inlineStr">
        <is>
          <t>Wasat</t>
        </is>
      </c>
      <c r="H430" s="20" t="inlineStr">
        <is>
          <t>Comedy</t>
        </is>
      </c>
      <c r="I430" s="20" t="inlineStr">
        <is>
          <t>حسن الرداد</t>
        </is>
      </c>
      <c r="J430" s="20" t="inlineStr"/>
      <c r="K430" s="20" t="inlineStr"/>
      <c r="L430">
        <f>IF(B430="","",IF(LEFT(TRIM(B430),2)="ال",MID(TRIM(B430),3,1),LEFT(TRIM(B430),1)))</f>
        <v/>
      </c>
      <c r="M430">
        <f>IF(B430="","",LEN(TRIM(B430))-LEN(SUBSTITUTE(TRIM(B430)," ",""))+1)</f>
        <v/>
      </c>
      <c r="N430" t="inlineStr">
        <is>
          <t>Draft</t>
        </is>
      </c>
    </row>
    <row r="431">
      <c r="A431" t="n">
        <v>430</v>
      </c>
      <c r="B431" s="20" t="inlineStr">
        <is>
          <t>الغسالة</t>
        </is>
      </c>
      <c r="C431" s="20" t="inlineStr">
        <is>
          <t>El Ghassala</t>
        </is>
      </c>
      <c r="D431" s="20" t="inlineStr">
        <is>
          <t>Film</t>
        </is>
      </c>
      <c r="E431" s="20" t="n">
        <v>2020</v>
      </c>
      <c r="F431">
        <f>IF(E431="","",IF(E431&lt;1970,"Abyad w eswed",IF(E431&lt;2000,"70s-90s",IF(E431&lt;2015,"2000s","Gedeed"))))</f>
        <v/>
      </c>
      <c r="G431" s="20" t="inlineStr">
        <is>
          <t>Wasat</t>
        </is>
      </c>
      <c r="H431" s="20" t="inlineStr">
        <is>
          <t>Comedy</t>
        </is>
      </c>
      <c r="I431" s="20" t="inlineStr">
        <is>
          <t>أحمد حاتم</t>
        </is>
      </c>
      <c r="J431" s="20" t="inlineStr"/>
      <c r="K431" s="20" t="inlineStr"/>
      <c r="L431">
        <f>IF(B431="","",IF(LEFT(TRIM(B431),2)="ال",MID(TRIM(B431),3,1),LEFT(TRIM(B431),1)))</f>
        <v/>
      </c>
      <c r="M431">
        <f>IF(B431="","",LEN(TRIM(B431))-LEN(SUBSTITUTE(TRIM(B431)," ",""))+1)</f>
        <v/>
      </c>
      <c r="N431" t="inlineStr">
        <is>
          <t>Draft</t>
        </is>
      </c>
    </row>
    <row r="432">
      <c r="A432" t="n">
        <v>431</v>
      </c>
      <c r="B432" s="20" t="inlineStr">
        <is>
          <t>أولاد حريم كريم</t>
        </is>
      </c>
      <c r="C432" s="20" t="inlineStr">
        <is>
          <t>Welad 7areem Karim</t>
        </is>
      </c>
      <c r="D432" s="20" t="inlineStr">
        <is>
          <t>Film</t>
        </is>
      </c>
      <c r="E432" s="20" t="n">
        <v>2022</v>
      </c>
      <c r="F432">
        <f>IF(E432="","",IF(E432&lt;1970,"Abyad w eswed",IF(E432&lt;2000,"70s-90s",IF(E432&lt;2015,"2000s","Gedeed"))))</f>
        <v/>
      </c>
      <c r="G432" s="20" t="inlineStr">
        <is>
          <t>Wasat</t>
        </is>
      </c>
      <c r="H432" s="20" t="inlineStr">
        <is>
          <t>Comedy</t>
        </is>
      </c>
      <c r="I432" s="20" t="inlineStr">
        <is>
          <t>مصطفى قمر</t>
        </is>
      </c>
      <c r="J432" s="20" t="inlineStr"/>
      <c r="K432" s="20" t="inlineStr"/>
      <c r="L432">
        <f>IF(B432="","",IF(LEFT(TRIM(B432),2)="ال",MID(TRIM(B432),3,1),LEFT(TRIM(B432),1)))</f>
        <v/>
      </c>
      <c r="M432">
        <f>IF(B432="","",LEN(TRIM(B432))-LEN(SUBSTITUTE(TRIM(B432)," ",""))+1)</f>
        <v/>
      </c>
      <c r="N432" t="inlineStr">
        <is>
          <t>Draft</t>
        </is>
      </c>
    </row>
    <row r="433">
      <c r="A433" t="n">
        <v>432</v>
      </c>
      <c r="B433" s="20" t="inlineStr">
        <is>
          <t>الرغبة</t>
        </is>
      </c>
      <c r="C433" s="20" t="inlineStr">
        <is>
          <t>El Raghba</t>
        </is>
      </c>
      <c r="D433" s="20" t="inlineStr">
        <is>
          <t>Film</t>
        </is>
      </c>
      <c r="E433" s="20" t="n">
        <v>2002</v>
      </c>
      <c r="F433">
        <f>IF(E433="","",IF(E433&lt;1970,"Abyad w eswed",IF(E433&lt;2000,"70s-90s",IF(E433&lt;2015,"2000s","Gedeed"))))</f>
        <v/>
      </c>
      <c r="G433" s="20" t="inlineStr">
        <is>
          <t>Sa3b</t>
        </is>
      </c>
      <c r="H433" s="20" t="inlineStr">
        <is>
          <t>Drama</t>
        </is>
      </c>
      <c r="I433" s="20" t="inlineStr">
        <is>
          <t>نادية الجندي</t>
        </is>
      </c>
      <c r="J433" s="20" t="inlineStr"/>
      <c r="K433" s="20" t="inlineStr"/>
      <c r="L433">
        <f>IF(B433="","",IF(LEFT(TRIM(B433),2)="ال",MID(TRIM(B433),3,1),LEFT(TRIM(B433),1)))</f>
        <v/>
      </c>
      <c r="M433">
        <f>IF(B433="","",LEN(TRIM(B433))-LEN(SUBSTITUTE(TRIM(B433)," ",""))+1)</f>
        <v/>
      </c>
      <c r="N433" t="inlineStr">
        <is>
          <t>Draft</t>
        </is>
      </c>
    </row>
    <row r="434">
      <c r="A434" t="n">
        <v>433</v>
      </c>
      <c r="B434" s="20" t="inlineStr">
        <is>
          <t>حبيبي نائماً</t>
        </is>
      </c>
      <c r="C434" s="20" t="inlineStr">
        <is>
          <t>7abibi Na2eman</t>
        </is>
      </c>
      <c r="D434" s="20" t="inlineStr">
        <is>
          <t>Film</t>
        </is>
      </c>
      <c r="E434" s="20" t="n">
        <v>2008</v>
      </c>
      <c r="F434">
        <f>IF(E434="","",IF(E434&lt;1970,"Abyad w eswed",IF(E434&lt;2000,"70s-90s",IF(E434&lt;2015,"2000s","Gedeed"))))</f>
        <v/>
      </c>
      <c r="G434" s="20" t="inlineStr">
        <is>
          <t>Sa3b</t>
        </is>
      </c>
      <c r="H434" s="20" t="inlineStr">
        <is>
          <t>Comedy</t>
        </is>
      </c>
      <c r="I434" s="20" t="inlineStr">
        <is>
          <t>مي عز الدين</t>
        </is>
      </c>
      <c r="J434" s="20" t="inlineStr"/>
      <c r="K434" s="20" t="inlineStr"/>
      <c r="L434">
        <f>IF(B434="","",IF(LEFT(TRIM(B434),2)="ال",MID(TRIM(B434),3,1),LEFT(TRIM(B434),1)))</f>
        <v/>
      </c>
      <c r="M434">
        <f>IF(B434="","",LEN(TRIM(B434))-LEN(SUBSTITUTE(TRIM(B434)," ",""))+1)</f>
        <v/>
      </c>
      <c r="N434" t="inlineStr">
        <is>
          <t>Draft</t>
        </is>
      </c>
    </row>
    <row r="435">
      <c r="A435" t="n">
        <v>434</v>
      </c>
      <c r="B435" s="20" t="inlineStr">
        <is>
          <t>أيظن</t>
        </is>
      </c>
      <c r="C435" s="20" t="inlineStr">
        <is>
          <t>Ayazon</t>
        </is>
      </c>
      <c r="D435" s="20" t="inlineStr">
        <is>
          <t>Film</t>
        </is>
      </c>
      <c r="E435" s="20" t="n">
        <v>2006</v>
      </c>
      <c r="F435">
        <f>IF(E435="","",IF(E435&lt;1970,"Abyad w eswed",IF(E435&lt;2000,"70s-90s",IF(E435&lt;2015,"2000s","Gedeed"))))</f>
        <v/>
      </c>
      <c r="G435" s="20" t="inlineStr">
        <is>
          <t>Sa3b</t>
        </is>
      </c>
      <c r="H435" s="20" t="inlineStr">
        <is>
          <t>Comedy</t>
        </is>
      </c>
      <c r="I435" s="20" t="inlineStr">
        <is>
          <t>مي عز الدين</t>
        </is>
      </c>
      <c r="J435" s="20" t="inlineStr"/>
      <c r="K435" s="20" t="inlineStr"/>
      <c r="L435">
        <f>IF(B435="","",IF(LEFT(TRIM(B435),2)="ال",MID(TRIM(B435),3,1),LEFT(TRIM(B435),1)))</f>
        <v/>
      </c>
      <c r="M435">
        <f>IF(B435="","",LEN(TRIM(B435))-LEN(SUBSTITUTE(TRIM(B435)," ",""))+1)</f>
        <v/>
      </c>
      <c r="N435" t="inlineStr">
        <is>
          <t>Draft</t>
        </is>
      </c>
    </row>
    <row r="436">
      <c r="A436" t="n">
        <v>435</v>
      </c>
      <c r="B436" s="20" t="inlineStr">
        <is>
          <t>شيكامارا</t>
        </is>
      </c>
      <c r="C436" s="20" t="inlineStr">
        <is>
          <t>Shikamara</t>
        </is>
      </c>
      <c r="D436" s="20" t="inlineStr">
        <is>
          <t>Film</t>
        </is>
      </c>
      <c r="E436" s="20" t="n">
        <v>2007</v>
      </c>
      <c r="F436">
        <f>IF(E436="","",IF(E436&lt;1970,"Abyad w eswed",IF(E436&lt;2000,"70s-90s",IF(E436&lt;2015,"2000s","Gedeed"))))</f>
        <v/>
      </c>
      <c r="G436" s="20" t="inlineStr">
        <is>
          <t>Sa3b</t>
        </is>
      </c>
      <c r="H436" s="20" t="inlineStr">
        <is>
          <t>Comedy</t>
        </is>
      </c>
      <c r="I436" s="20" t="inlineStr">
        <is>
          <t>حسن حسني</t>
        </is>
      </c>
      <c r="J436" s="20" t="inlineStr"/>
      <c r="K436" s="20" t="inlineStr"/>
      <c r="L436">
        <f>IF(B436="","",IF(LEFT(TRIM(B436),2)="ال",MID(TRIM(B436),3,1),LEFT(TRIM(B436),1)))</f>
        <v/>
      </c>
      <c r="M436">
        <f>IF(B436="","",LEN(TRIM(B436))-LEN(SUBSTITUTE(TRIM(B436)," ",""))+1)</f>
        <v/>
      </c>
      <c r="N436" t="inlineStr">
        <is>
          <t>Draft</t>
        </is>
      </c>
    </row>
    <row r="437">
      <c r="A437" t="n">
        <v>436</v>
      </c>
      <c r="B437" s="20" t="inlineStr">
        <is>
          <t>لخمة راس</t>
        </is>
      </c>
      <c r="C437" s="20" t="inlineStr">
        <is>
          <t>Lakhmet Ras</t>
        </is>
      </c>
      <c r="D437" s="20" t="inlineStr">
        <is>
          <t>Film</t>
        </is>
      </c>
      <c r="E437" s="20" t="n">
        <v>2006</v>
      </c>
      <c r="F437">
        <f>IF(E437="","",IF(E437&lt;1970,"Abyad w eswed",IF(E437&lt;2000,"70s-90s",IF(E437&lt;2015,"2000s","Gedeed"))))</f>
        <v/>
      </c>
      <c r="G437" s="20" t="inlineStr">
        <is>
          <t>Sa3b</t>
        </is>
      </c>
      <c r="H437" s="20" t="inlineStr">
        <is>
          <t>Comedy</t>
        </is>
      </c>
      <c r="I437" s="20" t="inlineStr">
        <is>
          <t>أحمد رزق</t>
        </is>
      </c>
      <c r="J437" s="20" t="inlineStr"/>
      <c r="K437" s="20" t="inlineStr"/>
      <c r="L437">
        <f>IF(B437="","",IF(LEFT(TRIM(B437),2)="ال",MID(TRIM(B437),3,1),LEFT(TRIM(B437),1)))</f>
        <v/>
      </c>
      <c r="M437">
        <f>IF(B437="","",LEN(TRIM(B437))-LEN(SUBSTITUTE(TRIM(B437)," ",""))+1)</f>
        <v/>
      </c>
      <c r="N437" t="inlineStr">
        <is>
          <t>Draft</t>
        </is>
      </c>
    </row>
    <row r="438">
      <c r="A438" t="n">
        <v>437</v>
      </c>
      <c r="B438" s="20" t="inlineStr">
        <is>
          <t>غش الزوجية</t>
        </is>
      </c>
      <c r="C438" s="20" t="inlineStr">
        <is>
          <t>Ghesh el Zawgeya</t>
        </is>
      </c>
      <c r="D438" s="20" t="inlineStr">
        <is>
          <t>Film</t>
        </is>
      </c>
      <c r="E438" s="20" t="n">
        <v>2007</v>
      </c>
      <c r="F438">
        <f>IF(E438="","",IF(E438&lt;1970,"Abyad w eswed",IF(E438&lt;2000,"70s-90s",IF(E438&lt;2015,"2000s","Gedeed"))))</f>
        <v/>
      </c>
      <c r="G438" s="20" t="inlineStr">
        <is>
          <t>Wasat</t>
        </is>
      </c>
      <c r="H438" s="20" t="inlineStr">
        <is>
          <t>Comedy</t>
        </is>
      </c>
      <c r="I438" s="20" t="inlineStr">
        <is>
          <t>رامز جلال</t>
        </is>
      </c>
      <c r="J438" s="20" t="inlineStr"/>
      <c r="K438" s="20" t="inlineStr"/>
      <c r="L438">
        <f>IF(B438="","",IF(LEFT(TRIM(B438),2)="ال",MID(TRIM(B438),3,1),LEFT(TRIM(B438),1)))</f>
        <v/>
      </c>
      <c r="M438">
        <f>IF(B438="","",LEN(TRIM(B438))-LEN(SUBSTITUTE(TRIM(B438)," ",""))+1)</f>
        <v/>
      </c>
      <c r="N438" t="inlineStr">
        <is>
          <t>Draft</t>
        </is>
      </c>
    </row>
    <row r="439">
      <c r="A439" t="n">
        <v>438</v>
      </c>
      <c r="B439" s="20" t="inlineStr">
        <is>
          <t>أحلام الفتى الطائش</t>
        </is>
      </c>
      <c r="C439" s="20" t="inlineStr">
        <is>
          <t>A7lam el Fata el Ta2esh</t>
        </is>
      </c>
      <c r="D439" s="20" t="inlineStr">
        <is>
          <t>Film</t>
        </is>
      </c>
      <c r="E439" s="20" t="n">
        <v>2007</v>
      </c>
      <c r="F439">
        <f>IF(E439="","",IF(E439&lt;1970,"Abyad w eswed",IF(E439&lt;2000,"70s-90s",IF(E439&lt;2015,"2000s","Gedeed"))))</f>
        <v/>
      </c>
      <c r="G439" s="20" t="inlineStr">
        <is>
          <t>Sa3b</t>
        </is>
      </c>
      <c r="H439" s="20" t="inlineStr">
        <is>
          <t>Comedy</t>
        </is>
      </c>
      <c r="I439" s="20" t="inlineStr">
        <is>
          <t>رامز جلال</t>
        </is>
      </c>
      <c r="J439" s="20" t="inlineStr"/>
      <c r="K439" s="20" t="inlineStr"/>
      <c r="L439">
        <f>IF(B439="","",IF(LEFT(TRIM(B439),2)="ال",MID(TRIM(B439),3,1),LEFT(TRIM(B439),1)))</f>
        <v/>
      </c>
      <c r="M439">
        <f>IF(B439="","",LEN(TRIM(B439))-LEN(SUBSTITUTE(TRIM(B439)," ",""))+1)</f>
        <v/>
      </c>
      <c r="N439" t="inlineStr">
        <is>
          <t>Draft</t>
        </is>
      </c>
    </row>
    <row r="440">
      <c r="A440" t="n">
        <v>439</v>
      </c>
      <c r="B440" s="20" t="inlineStr">
        <is>
          <t>حد سامع حاجة</t>
        </is>
      </c>
      <c r="C440" s="20" t="inlineStr">
        <is>
          <t>7ad Same3 7aga</t>
        </is>
      </c>
      <c r="D440" s="20" t="inlineStr">
        <is>
          <t>Film</t>
        </is>
      </c>
      <c r="E440" s="20" t="n">
        <v>2009</v>
      </c>
      <c r="F440">
        <f>IF(E440="","",IF(E440&lt;1970,"Abyad w eswed",IF(E440&lt;2000,"70s-90s",IF(E440&lt;2015,"2000s","Gedeed"))))</f>
        <v/>
      </c>
      <c r="G440" s="20" t="inlineStr">
        <is>
          <t>Sa3b</t>
        </is>
      </c>
      <c r="H440" s="20" t="inlineStr">
        <is>
          <t>Comedy</t>
        </is>
      </c>
      <c r="I440" s="20" t="inlineStr">
        <is>
          <t>رامز جلال</t>
        </is>
      </c>
      <c r="J440" s="20" t="inlineStr"/>
      <c r="K440" s="20" t="inlineStr"/>
      <c r="L440">
        <f>IF(B440="","",IF(LEFT(TRIM(B440),2)="ال",MID(TRIM(B440),3,1),LEFT(TRIM(B440),1)))</f>
        <v/>
      </c>
      <c r="M440">
        <f>IF(B440="","",LEN(TRIM(B440))-LEN(SUBSTITUTE(TRIM(B440)," ",""))+1)</f>
        <v/>
      </c>
      <c r="N440" t="inlineStr">
        <is>
          <t>Draft</t>
        </is>
      </c>
    </row>
    <row r="441">
      <c r="A441" t="n">
        <v>440</v>
      </c>
      <c r="B441" s="20" t="inlineStr">
        <is>
          <t>سبع البرمبة</t>
        </is>
      </c>
      <c r="C441" s="20" t="inlineStr">
        <is>
          <t>Sabe3 el Barmaba</t>
        </is>
      </c>
      <c r="D441" s="20" t="inlineStr">
        <is>
          <t>Film</t>
        </is>
      </c>
      <c r="E441" s="20" t="n">
        <v>2019</v>
      </c>
      <c r="F441">
        <f>IF(E441="","",IF(E441&lt;1970,"Abyad w eswed",IF(E441&lt;2000,"70s-90s",IF(E441&lt;2015,"2000s","Gedeed"))))</f>
        <v/>
      </c>
      <c r="G441" s="20" t="inlineStr">
        <is>
          <t>Wasat</t>
        </is>
      </c>
      <c r="H441" s="20" t="inlineStr">
        <is>
          <t>Comedy</t>
        </is>
      </c>
      <c r="I441" s="20" t="inlineStr">
        <is>
          <t>رامز جلال</t>
        </is>
      </c>
      <c r="J441" s="20" t="inlineStr"/>
      <c r="K441" s="20" t="inlineStr"/>
      <c r="L441">
        <f>IF(B441="","",IF(LEFT(TRIM(B441),2)="ال",MID(TRIM(B441),3,1),LEFT(TRIM(B441),1)))</f>
        <v/>
      </c>
      <c r="M441">
        <f>IF(B441="","",LEN(TRIM(B441))-LEN(SUBSTITUTE(TRIM(B441)," ",""))+1)</f>
        <v/>
      </c>
      <c r="N441" t="inlineStr">
        <is>
          <t>Draft</t>
        </is>
      </c>
    </row>
    <row r="442">
      <c r="A442" t="n">
        <v>441</v>
      </c>
      <c r="B442" s="20" t="inlineStr">
        <is>
          <t>أحمد نوتردام</t>
        </is>
      </c>
      <c r="C442" s="20" t="inlineStr">
        <is>
          <t>A7med Notredame</t>
        </is>
      </c>
      <c r="D442" s="20" t="inlineStr">
        <is>
          <t>Film</t>
        </is>
      </c>
      <c r="E442" s="20" t="n">
        <v>2021</v>
      </c>
      <c r="F442">
        <f>IF(E442="","",IF(E442&lt;1970,"Abyad w eswed",IF(E442&lt;2000,"70s-90s",IF(E442&lt;2015,"2000s","Gedeed"))))</f>
        <v/>
      </c>
      <c r="G442" s="20" t="inlineStr">
        <is>
          <t>Wasat</t>
        </is>
      </c>
      <c r="H442" s="20" t="inlineStr">
        <is>
          <t>Comedy</t>
        </is>
      </c>
      <c r="I442" s="20" t="inlineStr">
        <is>
          <t>رامز جلال</t>
        </is>
      </c>
      <c r="J442" s="20" t="inlineStr"/>
      <c r="K442" s="20" t="inlineStr"/>
      <c r="L442">
        <f>IF(B442="","",IF(LEFT(TRIM(B442),2)="ال",MID(TRIM(B442),3,1),LEFT(TRIM(B442),1)))</f>
        <v/>
      </c>
      <c r="M442">
        <f>IF(B442="","",LEN(TRIM(B442))-LEN(SUBSTITUTE(TRIM(B442)," ",""))+1)</f>
        <v/>
      </c>
      <c r="N442" t="inlineStr">
        <is>
          <t>Draft</t>
        </is>
      </c>
    </row>
    <row r="443">
      <c r="A443" t="n">
        <v>442</v>
      </c>
      <c r="B443" s="20" t="inlineStr">
        <is>
          <t>لما بنتولد</t>
        </is>
      </c>
      <c r="C443" s="20" t="inlineStr">
        <is>
          <t>Lamma Benetwled</t>
        </is>
      </c>
      <c r="D443" s="20" t="inlineStr">
        <is>
          <t>Film</t>
        </is>
      </c>
      <c r="E443" s="20" t="n">
        <v>2019</v>
      </c>
      <c r="F443">
        <f>IF(E443="","",IF(E443&lt;1970,"Abyad w eswed",IF(E443&lt;2000,"70s-90s",IF(E443&lt;2015,"2000s","Gedeed"))))</f>
        <v/>
      </c>
      <c r="G443" s="20" t="inlineStr">
        <is>
          <t>Sa3b</t>
        </is>
      </c>
      <c r="H443" s="20" t="inlineStr">
        <is>
          <t>Drama</t>
        </is>
      </c>
      <c r="I443" s="20" t="inlineStr">
        <is>
          <t>عمرو عابد</t>
        </is>
      </c>
      <c r="J443" s="20" t="inlineStr"/>
      <c r="K443" s="20" t="inlineStr"/>
      <c r="L443">
        <f>IF(B443="","",IF(LEFT(TRIM(B443),2)="ال",MID(TRIM(B443),3,1),LEFT(TRIM(B443),1)))</f>
        <v/>
      </c>
      <c r="M443">
        <f>IF(B443="","",LEN(TRIM(B443))-LEN(SUBSTITUTE(TRIM(B443)," ",""))+1)</f>
        <v/>
      </c>
      <c r="N443" t="inlineStr">
        <is>
          <t>Draft</t>
        </is>
      </c>
    </row>
    <row r="444">
      <c r="A444" t="n">
        <v>443</v>
      </c>
      <c r="B444" s="20" t="inlineStr">
        <is>
          <t>الضيف</t>
        </is>
      </c>
      <c r="C444" s="20" t="inlineStr">
        <is>
          <t>El Deif</t>
        </is>
      </c>
      <c r="D444" s="20" t="inlineStr">
        <is>
          <t>Film</t>
        </is>
      </c>
      <c r="E444" s="20" t="n">
        <v>2019</v>
      </c>
      <c r="F444">
        <f>IF(E444="","",IF(E444&lt;1970,"Abyad w eswed",IF(E444&lt;2000,"70s-90s",IF(E444&lt;2015,"2000s","Gedeed"))))</f>
        <v/>
      </c>
      <c r="G444" s="20" t="inlineStr">
        <is>
          <t>Wasat</t>
        </is>
      </c>
      <c r="H444" s="20" t="inlineStr">
        <is>
          <t>Drama</t>
        </is>
      </c>
      <c r="I444" s="20" t="inlineStr">
        <is>
          <t>خالد الصاوي</t>
        </is>
      </c>
      <c r="J444" s="20" t="inlineStr"/>
      <c r="K444" s="20" t="inlineStr"/>
      <c r="L444">
        <f>IF(B444="","",IF(LEFT(TRIM(B444),2)="ال",MID(TRIM(B444),3,1),LEFT(TRIM(B444),1)))</f>
        <v/>
      </c>
      <c r="M444">
        <f>IF(B444="","",LEN(TRIM(B444))-LEN(SUBSTITUTE(TRIM(B444)," ",""))+1)</f>
        <v/>
      </c>
      <c r="N444" t="inlineStr">
        <is>
          <t>Draft</t>
        </is>
      </c>
    </row>
    <row r="445">
      <c r="A445" t="n">
        <v>444</v>
      </c>
      <c r="B445" s="20" t="inlineStr">
        <is>
          <t>الكنز 2</t>
        </is>
      </c>
      <c r="C445" s="20" t="inlineStr">
        <is>
          <t>El Kanz 2</t>
        </is>
      </c>
      <c r="D445" s="20" t="inlineStr">
        <is>
          <t>Film</t>
        </is>
      </c>
      <c r="E445" s="20" t="n">
        <v>2019</v>
      </c>
      <c r="F445">
        <f>IF(E445="","",IF(E445&lt;1970,"Abyad w eswed",IF(E445&lt;2000,"70s-90s",IF(E445&lt;2015,"2000s","Gedeed"))))</f>
        <v/>
      </c>
      <c r="G445" s="20" t="inlineStr">
        <is>
          <t>Sa3b</t>
        </is>
      </c>
      <c r="H445" s="20" t="inlineStr">
        <is>
          <t>Ta2reekhy</t>
        </is>
      </c>
      <c r="I445" s="20" t="inlineStr">
        <is>
          <t>محمد سعد</t>
        </is>
      </c>
      <c r="J445" s="20" t="inlineStr"/>
      <c r="K445" s="20" t="inlineStr"/>
      <c r="L445">
        <f>IF(B445="","",IF(LEFT(TRIM(B445),2)="ال",MID(TRIM(B445),3,1),LEFT(TRIM(B445),1)))</f>
        <v/>
      </c>
      <c r="M445">
        <f>IF(B445="","",LEN(TRIM(B445))-LEN(SUBSTITUTE(TRIM(B445)," ",""))+1)</f>
        <v/>
      </c>
      <c r="N445" t="inlineStr">
        <is>
          <t>Draft</t>
        </is>
      </c>
    </row>
    <row r="446">
      <c r="A446" t="n">
        <v>445</v>
      </c>
      <c r="B446" s="20" t="inlineStr">
        <is>
          <t>خط دم</t>
        </is>
      </c>
      <c r="C446" s="20" t="inlineStr">
        <is>
          <t>Khat Dam</t>
        </is>
      </c>
      <c r="D446" s="20" t="inlineStr">
        <is>
          <t>Film</t>
        </is>
      </c>
      <c r="E446" s="20" t="n">
        <v>2020</v>
      </c>
      <c r="F446">
        <f>IF(E446="","",IF(E446&lt;1970,"Abyad w eswed",IF(E446&lt;2000,"70s-90s",IF(E446&lt;2015,"2000s","Gedeed"))))</f>
        <v/>
      </c>
      <c r="G446" s="20" t="inlineStr">
        <is>
          <t>Sa3b</t>
        </is>
      </c>
      <c r="H446" s="20" t="inlineStr">
        <is>
          <t>Horror</t>
        </is>
      </c>
      <c r="I446" s="20" t="inlineStr">
        <is>
          <t>نيللي كريم</t>
        </is>
      </c>
      <c r="J446" s="20" t="inlineStr"/>
      <c r="K446" s="20" t="inlineStr"/>
      <c r="L446">
        <f>IF(B446="","",IF(LEFT(TRIM(B446),2)="ال",MID(TRIM(B446),3,1),LEFT(TRIM(B446),1)))</f>
        <v/>
      </c>
      <c r="M446">
        <f>IF(B446="","",LEN(TRIM(B446))-LEN(SUBSTITUTE(TRIM(B446)," ",""))+1)</f>
        <v/>
      </c>
      <c r="N446" t="inlineStr">
        <is>
          <t>Draft</t>
        </is>
      </c>
    </row>
    <row r="447">
      <c r="A447" t="n">
        <v>446</v>
      </c>
      <c r="B447" s="20" t="inlineStr">
        <is>
          <t>الحارث</t>
        </is>
      </c>
      <c r="C447" s="20" t="inlineStr">
        <is>
          <t>El 7ares</t>
        </is>
      </c>
      <c r="D447" s="20" t="inlineStr">
        <is>
          <t>Film</t>
        </is>
      </c>
      <c r="E447" s="20" t="n">
        <v>2020</v>
      </c>
      <c r="F447">
        <f>IF(E447="","",IF(E447&lt;1970,"Abyad w eswed",IF(E447&lt;2000,"70s-90s",IF(E447&lt;2015,"2000s","Gedeed"))))</f>
        <v/>
      </c>
      <c r="G447" s="20" t="inlineStr">
        <is>
          <t>Sa3b</t>
        </is>
      </c>
      <c r="H447" s="20" t="inlineStr">
        <is>
          <t>Horror</t>
        </is>
      </c>
      <c r="I447" s="20" t="inlineStr">
        <is>
          <t>أحمد الفيشاوي</t>
        </is>
      </c>
      <c r="J447" s="20" t="inlineStr"/>
      <c r="K447" s="20" t="inlineStr"/>
      <c r="L447">
        <f>IF(B447="","",IF(LEFT(TRIM(B447),2)="ال",MID(TRIM(B447),3,1),LEFT(TRIM(B447),1)))</f>
        <v/>
      </c>
      <c r="M447">
        <f>IF(B447="","",LEN(TRIM(B447))-LEN(SUBSTITUTE(TRIM(B447)," ",""))+1)</f>
        <v/>
      </c>
      <c r="N447" t="inlineStr">
        <is>
          <t>Draft</t>
        </is>
      </c>
    </row>
    <row r="448">
      <c r="A448" t="n">
        <v>447</v>
      </c>
      <c r="B448" s="20" t="inlineStr">
        <is>
          <t>وقفة رجالة</t>
        </is>
      </c>
      <c r="C448" s="20" t="inlineStr">
        <is>
          <t>Wa2fet Regala</t>
        </is>
      </c>
      <c r="D448" s="20" t="inlineStr">
        <is>
          <t>Film</t>
        </is>
      </c>
      <c r="E448" s="20" t="n">
        <v>2021</v>
      </c>
      <c r="F448">
        <f>IF(E448="","",IF(E448&lt;1970,"Abyad w eswed",IF(E448&lt;2000,"70s-90s",IF(E448&lt;2015,"2000s","Gedeed"))))</f>
        <v/>
      </c>
      <c r="G448" s="20" t="inlineStr">
        <is>
          <t>Wasat</t>
        </is>
      </c>
      <c r="H448" s="20" t="inlineStr">
        <is>
          <t>Comedy</t>
        </is>
      </c>
      <c r="I448" s="20" t="inlineStr">
        <is>
          <t>ماجد الكدواني</t>
        </is>
      </c>
      <c r="J448" s="20" t="inlineStr"/>
      <c r="K448" s="20" t="inlineStr"/>
      <c r="L448">
        <f>IF(B448="","",IF(LEFT(TRIM(B448),2)="ال",MID(TRIM(B448),3,1),LEFT(TRIM(B448),1)))</f>
        <v/>
      </c>
      <c r="M448">
        <f>IF(B448="","",LEN(TRIM(B448))-LEN(SUBSTITUTE(TRIM(B448)," ",""))+1)</f>
        <v/>
      </c>
      <c r="N448" t="inlineStr">
        <is>
          <t>Draft</t>
        </is>
      </c>
    </row>
    <row r="449">
      <c r="A449" t="n">
        <v>448</v>
      </c>
      <c r="B449" s="20" t="inlineStr">
        <is>
          <t>ماما حامل</t>
        </is>
      </c>
      <c r="C449" s="20" t="inlineStr">
        <is>
          <t>Mama 7amel</t>
        </is>
      </c>
      <c r="D449" s="20" t="inlineStr">
        <is>
          <t>Film</t>
        </is>
      </c>
      <c r="E449" s="20" t="n">
        <v>2021</v>
      </c>
      <c r="F449">
        <f>IF(E449="","",IF(E449&lt;1970,"Abyad w eswed",IF(E449&lt;2000,"70s-90s",IF(E449&lt;2015,"2000s","Gedeed"))))</f>
        <v/>
      </c>
      <c r="G449" s="20" t="inlineStr">
        <is>
          <t>Wasat</t>
        </is>
      </c>
      <c r="H449" s="20" t="inlineStr">
        <is>
          <t>Comedy</t>
        </is>
      </c>
      <c r="I449" s="20" t="inlineStr">
        <is>
          <t>ليلى علوي</t>
        </is>
      </c>
      <c r="J449" s="20" t="inlineStr"/>
      <c r="K449" s="20" t="inlineStr"/>
      <c r="L449">
        <f>IF(B449="","",IF(LEFT(TRIM(B449),2)="ال",MID(TRIM(B449),3,1),LEFT(TRIM(B449),1)))</f>
        <v/>
      </c>
      <c r="M449">
        <f>IF(B449="","",LEN(TRIM(B449))-LEN(SUBSTITUTE(TRIM(B449)," ",""))+1)</f>
        <v/>
      </c>
      <c r="N449" t="inlineStr">
        <is>
          <t>Draft</t>
        </is>
      </c>
    </row>
    <row r="450">
      <c r="A450" t="n">
        <v>449</v>
      </c>
      <c r="B450" s="20" t="inlineStr">
        <is>
          <t>ديدو</t>
        </is>
      </c>
      <c r="C450" s="20" t="inlineStr">
        <is>
          <t>Dido</t>
        </is>
      </c>
      <c r="D450" s="20" t="inlineStr">
        <is>
          <t>Film</t>
        </is>
      </c>
      <c r="E450" s="20" t="n">
        <v>2021</v>
      </c>
      <c r="F450">
        <f>IF(E450="","",IF(E450&lt;1970,"Abyad w eswed",IF(E450&lt;2000,"70s-90s",IF(E450&lt;2015,"2000s","Gedeed"))))</f>
        <v/>
      </c>
      <c r="G450" s="20" t="inlineStr">
        <is>
          <t>Wasat</t>
        </is>
      </c>
      <c r="H450" s="20" t="inlineStr">
        <is>
          <t>Comedy</t>
        </is>
      </c>
      <c r="I450" s="20" t="inlineStr">
        <is>
          <t>كريم فهمي</t>
        </is>
      </c>
      <c r="J450" s="20" t="inlineStr"/>
      <c r="K450" s="20" t="inlineStr"/>
      <c r="L450">
        <f>IF(B450="","",IF(LEFT(TRIM(B450),2)="ال",MID(TRIM(B450),3,1),LEFT(TRIM(B450),1)))</f>
        <v/>
      </c>
      <c r="M450">
        <f>IF(B450="","",LEN(TRIM(B450))-LEN(SUBSTITUTE(TRIM(B450)," ",""))+1)</f>
        <v/>
      </c>
      <c r="N450" t="inlineStr">
        <is>
          <t>Draft</t>
        </is>
      </c>
    </row>
    <row r="451">
      <c r="A451" t="n">
        <v>450</v>
      </c>
      <c r="B451" s="20" t="inlineStr">
        <is>
          <t>شلبي</t>
        </is>
      </c>
      <c r="C451" s="20" t="inlineStr">
        <is>
          <t>Shalaby</t>
        </is>
      </c>
      <c r="D451" s="20" t="inlineStr">
        <is>
          <t>Film</t>
        </is>
      </c>
      <c r="E451" s="20" t="n">
        <v>2023</v>
      </c>
      <c r="F451">
        <f>IF(E451="","",IF(E451&lt;1970,"Abyad w eswed",IF(E451&lt;2000,"70s-90s",IF(E451&lt;2015,"2000s","Gedeed"))))</f>
        <v/>
      </c>
      <c r="G451" s="20" t="inlineStr">
        <is>
          <t>Sa3b</t>
        </is>
      </c>
      <c r="H451" s="20" t="inlineStr">
        <is>
          <t>Comedy</t>
        </is>
      </c>
      <c r="I451" s="20" t="inlineStr">
        <is>
          <t>كريم محمود عبد العزيز</t>
        </is>
      </c>
      <c r="J451" s="20" t="inlineStr"/>
      <c r="K451" s="20" t="inlineStr"/>
      <c r="L451">
        <f>IF(B451="","",IF(LEFT(TRIM(B451),2)="ال",MID(TRIM(B451),3,1),LEFT(TRIM(B451),1)))</f>
        <v/>
      </c>
      <c r="M451">
        <f>IF(B451="","",LEN(TRIM(B451))-LEN(SUBSTITUTE(TRIM(B451)," ",""))+1)</f>
        <v/>
      </c>
      <c r="N451" t="inlineStr">
        <is>
          <t>Draft</t>
        </is>
      </c>
    </row>
    <row r="452">
      <c r="A452" t="n">
        <v>451</v>
      </c>
      <c r="B452" s="20" t="inlineStr">
        <is>
          <t>أهل الكهف</t>
        </is>
      </c>
      <c r="C452" s="20" t="inlineStr">
        <is>
          <t>Ahl el Kahf</t>
        </is>
      </c>
      <c r="D452" s="20" t="inlineStr">
        <is>
          <t>Film</t>
        </is>
      </c>
      <c r="E452" s="20" t="n">
        <v>2024</v>
      </c>
      <c r="F452">
        <f>IF(E452="","",IF(E452&lt;1970,"Abyad w eswed",IF(E452&lt;2000,"70s-90s",IF(E452&lt;2015,"2000s","Gedeed"))))</f>
        <v/>
      </c>
      <c r="G452" s="20" t="inlineStr">
        <is>
          <t>Sa3b</t>
        </is>
      </c>
      <c r="H452" s="20" t="inlineStr">
        <is>
          <t>Ta2reekhy</t>
        </is>
      </c>
      <c r="I452" s="20" t="inlineStr">
        <is>
          <t>خالد النبوي</t>
        </is>
      </c>
      <c r="J452" s="20" t="inlineStr"/>
      <c r="K452" s="20" t="inlineStr"/>
      <c r="L452">
        <f>IF(B452="","",IF(LEFT(TRIM(B452),2)="ال",MID(TRIM(B452),3,1),LEFT(TRIM(B452),1)))</f>
        <v/>
      </c>
      <c r="M452">
        <f>IF(B452="","",LEN(TRIM(B452))-LEN(SUBSTITUTE(TRIM(B452)," ",""))+1)</f>
        <v/>
      </c>
      <c r="N452" t="inlineStr">
        <is>
          <t>Draft</t>
        </is>
      </c>
    </row>
    <row r="453">
      <c r="A453" t="n">
        <v>452</v>
      </c>
      <c r="B453" s="20" t="inlineStr">
        <is>
          <t>الهوى سلطان</t>
        </is>
      </c>
      <c r="C453" s="20" t="inlineStr">
        <is>
          <t>El Hawa Soltan</t>
        </is>
      </c>
      <c r="D453" s="20" t="inlineStr">
        <is>
          <t>Film</t>
        </is>
      </c>
      <c r="E453" s="20" t="n">
        <v>2024</v>
      </c>
      <c r="F453">
        <f>IF(E453="","",IF(E453&lt;1970,"Abyad w eswed",IF(E453&lt;2000,"70s-90s",IF(E453&lt;2015,"2000s","Gedeed"))))</f>
        <v/>
      </c>
      <c r="G453" s="20" t="inlineStr">
        <is>
          <t>Wasat</t>
        </is>
      </c>
      <c r="H453" s="20" t="inlineStr">
        <is>
          <t>Romance</t>
        </is>
      </c>
      <c r="I453" s="20" t="inlineStr">
        <is>
          <t>منة شلبي</t>
        </is>
      </c>
      <c r="J453" s="20" t="inlineStr"/>
      <c r="K453" s="20" t="inlineStr"/>
      <c r="L453">
        <f>IF(B453="","",IF(LEFT(TRIM(B453),2)="ال",MID(TRIM(B453),3,1),LEFT(TRIM(B453),1)))</f>
        <v/>
      </c>
      <c r="M453">
        <f>IF(B453="","",LEN(TRIM(B453))-LEN(SUBSTITUTE(TRIM(B453)," ",""))+1)</f>
        <v/>
      </c>
      <c r="N453" t="inlineStr">
        <is>
          <t>Draft</t>
        </is>
      </c>
    </row>
    <row r="454">
      <c r="A454" t="n">
        <v>453</v>
      </c>
      <c r="B454" s="20" t="inlineStr">
        <is>
          <t>بنقدر ظروفك</t>
        </is>
      </c>
      <c r="C454" s="20" t="inlineStr">
        <is>
          <t>Bne2dar Zoroofak</t>
        </is>
      </c>
      <c r="D454" s="20" t="inlineStr">
        <is>
          <t>Film</t>
        </is>
      </c>
      <c r="E454" s="20" t="n">
        <v>2024</v>
      </c>
      <c r="F454">
        <f>IF(E454="","",IF(E454&lt;1970,"Abyad w eswed",IF(E454&lt;2000,"70s-90s",IF(E454&lt;2015,"2000s","Gedeed"))))</f>
        <v/>
      </c>
      <c r="G454" s="20" t="inlineStr">
        <is>
          <t>Sa3b</t>
        </is>
      </c>
      <c r="H454" s="20" t="inlineStr">
        <is>
          <t>Comedy</t>
        </is>
      </c>
      <c r="I454" s="20" t="inlineStr">
        <is>
          <t>أحمد الفيشاوي</t>
        </is>
      </c>
      <c r="J454" s="20" t="inlineStr"/>
      <c r="K454" s="20" t="inlineStr"/>
      <c r="L454">
        <f>IF(B454="","",IF(LEFT(TRIM(B454),2)="ال",MID(TRIM(B454),3,1),LEFT(TRIM(B454),1)))</f>
        <v/>
      </c>
      <c r="M454">
        <f>IF(B454="","",LEN(TRIM(B454))-LEN(SUBSTITUTE(TRIM(B454)," ",""))+1)</f>
        <v/>
      </c>
      <c r="N454" t="inlineStr">
        <is>
          <t>Draft</t>
        </is>
      </c>
    </row>
    <row r="455">
      <c r="A455" t="n">
        <v>454</v>
      </c>
      <c r="B455" s="20" t="inlineStr">
        <is>
          <t>سيكو سيكو</t>
        </is>
      </c>
      <c r="C455" s="20" t="inlineStr">
        <is>
          <t>Siko Siko</t>
        </is>
      </c>
      <c r="D455" s="20" t="inlineStr">
        <is>
          <t>Film</t>
        </is>
      </c>
      <c r="E455" s="20" t="n">
        <v>2025</v>
      </c>
      <c r="F455">
        <f>IF(E455="","",IF(E455&lt;1970,"Abyad w eswed",IF(E455&lt;2000,"70s-90s",IF(E455&lt;2015,"2000s","Gedeed"))))</f>
        <v/>
      </c>
      <c r="G455" s="20" t="inlineStr">
        <is>
          <t>Wasat</t>
        </is>
      </c>
      <c r="H455" s="20" t="inlineStr">
        <is>
          <t>Comedy</t>
        </is>
      </c>
      <c r="I455" s="20" t="inlineStr">
        <is>
          <t>عصام عمر</t>
        </is>
      </c>
      <c r="J455" s="20" t="inlineStr"/>
      <c r="K455" s="20" t="inlineStr"/>
      <c r="L455">
        <f>IF(B455="","",IF(LEFT(TRIM(B455),2)="ال",MID(TRIM(B455),3,1),LEFT(TRIM(B455),1)))</f>
        <v/>
      </c>
      <c r="M455">
        <f>IF(B455="","",LEN(TRIM(B455))-LEN(SUBSTITUTE(TRIM(B455)," ",""))+1)</f>
        <v/>
      </c>
      <c r="N455" t="inlineStr">
        <is>
          <t>Draft</t>
        </is>
      </c>
    </row>
    <row r="456">
      <c r="A456" t="n">
        <v>455</v>
      </c>
      <c r="B456" s="20" t="inlineStr">
        <is>
          <t>في عز الضهر</t>
        </is>
      </c>
      <c r="C456" s="20" t="inlineStr">
        <is>
          <t>Fi 3ezz el Dohr</t>
        </is>
      </c>
      <c r="D456" s="20" t="inlineStr">
        <is>
          <t>Film</t>
        </is>
      </c>
      <c r="E456" s="20" t="n">
        <v>2025</v>
      </c>
      <c r="F456">
        <f>IF(E456="","",IF(E456&lt;1970,"Abyad w eswed",IF(E456&lt;2000,"70s-90s",IF(E456&lt;2015,"2000s","Gedeed"))))</f>
        <v/>
      </c>
      <c r="G456" s="20" t="inlineStr">
        <is>
          <t>Wasat</t>
        </is>
      </c>
      <c r="H456" s="20" t="inlineStr">
        <is>
          <t>Action</t>
        </is>
      </c>
      <c r="I456" s="20" t="inlineStr">
        <is>
          <t>مينا مسعود</t>
        </is>
      </c>
      <c r="J456" s="20" t="inlineStr"/>
      <c r="K456" s="20" t="inlineStr"/>
      <c r="L456">
        <f>IF(B456="","",IF(LEFT(TRIM(B456),2)="ال",MID(TRIM(B456),3,1),LEFT(TRIM(B456),1)))</f>
        <v/>
      </c>
      <c r="M456">
        <f>IF(B456="","",LEN(TRIM(B456))-LEN(SUBSTITUTE(TRIM(B456)," ",""))+1)</f>
        <v/>
      </c>
      <c r="N456" t="inlineStr">
        <is>
          <t>Draft</t>
        </is>
      </c>
    </row>
    <row r="457">
      <c r="A457" t="n">
        <v>456</v>
      </c>
      <c r="B457" s="20" t="inlineStr">
        <is>
          <t>الكراش</t>
        </is>
      </c>
      <c r="C457" s="20" t="inlineStr">
        <is>
          <t>El Crash</t>
        </is>
      </c>
      <c r="D457" s="20" t="inlineStr">
        <is>
          <t>Film</t>
        </is>
      </c>
      <c r="E457" s="20" t="n">
        <v>2025</v>
      </c>
      <c r="F457">
        <f>IF(E457="","",IF(E457&lt;1970,"Abyad w eswed",IF(E457&lt;2000,"70s-90s",IF(E457&lt;2015,"2000s","Gedeed"))))</f>
        <v/>
      </c>
      <c r="G457" s="20" t="inlineStr">
        <is>
          <t>Wasat</t>
        </is>
      </c>
      <c r="H457" s="20" t="inlineStr">
        <is>
          <t>Romance</t>
        </is>
      </c>
      <c r="I457" s="20" t="inlineStr">
        <is>
          <t>أحمد داود</t>
        </is>
      </c>
      <c r="J457" s="20" t="inlineStr"/>
      <c r="K457" s="20" t="inlineStr"/>
      <c r="L457">
        <f>IF(B457="","",IF(LEFT(TRIM(B457),2)="ال",MID(TRIM(B457),3,1),LEFT(TRIM(B457),1)))</f>
        <v/>
      </c>
      <c r="M457">
        <f>IF(B457="","",LEN(TRIM(B457))-LEN(SUBSTITUTE(TRIM(B457)," ",""))+1)</f>
        <v/>
      </c>
      <c r="N457" t="inlineStr">
        <is>
          <t>Draft</t>
        </is>
      </c>
    </row>
    <row r="458">
      <c r="A458" t="n">
        <v>457</v>
      </c>
      <c r="B458" s="20" t="inlineStr">
        <is>
          <t>بيج رامي</t>
        </is>
      </c>
      <c r="C458" s="20" t="inlineStr">
        <is>
          <t>Big Ramy</t>
        </is>
      </c>
      <c r="D458" s="20" t="inlineStr">
        <is>
          <t>Film</t>
        </is>
      </c>
      <c r="E458" s="20" t="n">
        <v>2025</v>
      </c>
      <c r="F458">
        <f>IF(E458="","",IF(E458&lt;1970,"Abyad w eswed",IF(E458&lt;2000,"70s-90s",IF(E458&lt;2015,"2000s","Gedeed"))))</f>
        <v/>
      </c>
      <c r="G458" s="20" t="inlineStr">
        <is>
          <t>Wasat</t>
        </is>
      </c>
      <c r="H458" s="20" t="inlineStr">
        <is>
          <t>Comedy</t>
        </is>
      </c>
      <c r="I458" s="20" t="inlineStr">
        <is>
          <t>رامز جلال</t>
        </is>
      </c>
      <c r="J458" s="20" t="inlineStr"/>
      <c r="K458" s="20" t="inlineStr"/>
      <c r="L458">
        <f>IF(B458="","",IF(LEFT(TRIM(B458),2)="ال",MID(TRIM(B458),3,1),LEFT(TRIM(B458),1)))</f>
        <v/>
      </c>
      <c r="M458">
        <f>IF(B458="","",LEN(TRIM(B458))-LEN(SUBSTITUTE(TRIM(B458)," ",""))+1)</f>
        <v/>
      </c>
      <c r="N458" t="inlineStr">
        <is>
          <t>Draft</t>
        </is>
      </c>
    </row>
    <row r="459">
      <c r="A459" t="n">
        <v>458</v>
      </c>
      <c r="B459" s="20" t="inlineStr">
        <is>
          <t>المستريحة</t>
        </is>
      </c>
      <c r="C459" s="20" t="inlineStr">
        <is>
          <t>El Mestery7a</t>
        </is>
      </c>
      <c r="D459" s="20" t="inlineStr">
        <is>
          <t>Film</t>
        </is>
      </c>
      <c r="E459" s="20" t="n">
        <v>2025</v>
      </c>
      <c r="F459">
        <f>IF(E459="","",IF(E459&lt;1970,"Abyad w eswed",IF(E459&lt;2000,"70s-90s",IF(E459&lt;2015,"2000s","Gedeed"))))</f>
        <v/>
      </c>
      <c r="G459" s="20" t="inlineStr">
        <is>
          <t>Sa3b</t>
        </is>
      </c>
      <c r="H459" s="20" t="inlineStr">
        <is>
          <t>Comedy</t>
        </is>
      </c>
      <c r="I459" s="20" t="inlineStr">
        <is>
          <t>ليلى علوي</t>
        </is>
      </c>
      <c r="J459" s="20" t="inlineStr"/>
      <c r="K459" s="20" t="inlineStr"/>
      <c r="L459">
        <f>IF(B459="","",IF(LEFT(TRIM(B459),2)="ال",MID(TRIM(B459),3,1),LEFT(TRIM(B459),1)))</f>
        <v/>
      </c>
      <c r="M459">
        <f>IF(B459="","",LEN(TRIM(B459))-LEN(SUBSTITUTE(TRIM(B459)," ",""))+1)</f>
        <v/>
      </c>
      <c r="N459" t="inlineStr">
        <is>
          <t>Draft</t>
        </is>
      </c>
    </row>
    <row r="460">
      <c r="A460" t="n">
        <v>459</v>
      </c>
      <c r="B460" s="20" t="inlineStr">
        <is>
          <t>ماما وبابا</t>
        </is>
      </c>
      <c r="C460" s="20" t="inlineStr">
        <is>
          <t>Mama w Baba</t>
        </is>
      </c>
      <c r="D460" s="20" t="inlineStr">
        <is>
          <t>Film</t>
        </is>
      </c>
      <c r="E460" s="20" t="n">
        <v>2025</v>
      </c>
      <c r="F460">
        <f>IF(E460="","",IF(E460&lt;1970,"Abyad w eswed",IF(E460&lt;2000,"70s-90s",IF(E460&lt;2015,"2000s","Gedeed"))))</f>
        <v/>
      </c>
      <c r="G460" s="20" t="inlineStr">
        <is>
          <t>Wasat</t>
        </is>
      </c>
      <c r="H460" s="20" t="inlineStr">
        <is>
          <t>Comedy</t>
        </is>
      </c>
      <c r="I460" s="20" t="inlineStr">
        <is>
          <t>ياسمين رئيس</t>
        </is>
      </c>
      <c r="J460" s="20" t="inlineStr"/>
      <c r="K460" s="20" t="inlineStr"/>
      <c r="L460">
        <f>IF(B460="","",IF(LEFT(TRIM(B460),2)="ال",MID(TRIM(B460),3,1),LEFT(TRIM(B460),1)))</f>
        <v/>
      </c>
      <c r="M460">
        <f>IF(B460="","",LEN(TRIM(B460))-LEN(SUBSTITUTE(TRIM(B460)," ",""))+1)</f>
        <v/>
      </c>
      <c r="N460" t="inlineStr">
        <is>
          <t>Draft</t>
        </is>
      </c>
    </row>
    <row r="461">
      <c r="A461" t="n">
        <v>460</v>
      </c>
      <c r="B461" s="20" t="inlineStr">
        <is>
          <t>روكي الغلابة</t>
        </is>
      </c>
      <c r="C461" s="20" t="inlineStr">
        <is>
          <t>Rocky el Ghalaba</t>
        </is>
      </c>
      <c r="D461" s="20" t="inlineStr">
        <is>
          <t>Film</t>
        </is>
      </c>
      <c r="E461" s="20" t="n">
        <v>2025</v>
      </c>
      <c r="F461">
        <f>IF(E461="","",IF(E461&lt;1970,"Abyad w eswed",IF(E461&lt;2000,"70s-90s",IF(E461&lt;2015,"2000s","Gedeed"))))</f>
        <v/>
      </c>
      <c r="G461" s="20" t="inlineStr">
        <is>
          <t>Wasat</t>
        </is>
      </c>
      <c r="H461" s="20" t="inlineStr">
        <is>
          <t>Comedy</t>
        </is>
      </c>
      <c r="I461" s="20" t="inlineStr">
        <is>
          <t>دنيا سمير غانم</t>
        </is>
      </c>
      <c r="J461" s="20" t="inlineStr"/>
      <c r="K461" s="20" t="inlineStr"/>
      <c r="L461">
        <f>IF(B461="","",IF(LEFT(TRIM(B461),2)="ال",MID(TRIM(B461),3,1),LEFT(TRIM(B461),1)))</f>
        <v/>
      </c>
      <c r="M461">
        <f>IF(B461="","",LEN(TRIM(B461))-LEN(SUBSTITUTE(TRIM(B461)," ",""))+1)</f>
        <v/>
      </c>
      <c r="N461" t="inlineStr">
        <is>
          <t>Draft</t>
        </is>
      </c>
    </row>
    <row r="462">
      <c r="A462" t="n">
        <v>461</v>
      </c>
      <c r="B462" s="20" t="inlineStr">
        <is>
          <t>استنساخ</t>
        </is>
      </c>
      <c r="C462" s="20" t="inlineStr">
        <is>
          <t>Esten7sakh</t>
        </is>
      </c>
      <c r="D462" s="20" t="inlineStr">
        <is>
          <t>Film</t>
        </is>
      </c>
      <c r="E462" s="20" t="n">
        <v>2025</v>
      </c>
      <c r="F462">
        <f>IF(E462="","",IF(E462&lt;1970,"Abyad w eswed",IF(E462&lt;2000,"70s-90s",IF(E462&lt;2015,"2000s","Gedeed"))))</f>
        <v/>
      </c>
      <c r="G462" s="20" t="inlineStr">
        <is>
          <t>Sa3b</t>
        </is>
      </c>
      <c r="H462" s="20" t="inlineStr">
        <is>
          <t>Thriller</t>
        </is>
      </c>
      <c r="I462" s="20" t="inlineStr"/>
      <c r="J462" s="20" t="inlineStr"/>
      <c r="K462" s="20" t="inlineStr"/>
      <c r="L462">
        <f>IF(B462="","",IF(LEFT(TRIM(B462),2)="ال",MID(TRIM(B462),3,1),LEFT(TRIM(B462),1)))</f>
        <v/>
      </c>
      <c r="M462">
        <f>IF(B462="","",LEN(TRIM(B462))-LEN(SUBSTITUTE(TRIM(B462)," ",""))+1)</f>
        <v/>
      </c>
      <c r="N462" t="inlineStr">
        <is>
          <t>Draft</t>
        </is>
      </c>
    </row>
    <row r="463">
      <c r="A463" t="n">
        <v>462</v>
      </c>
      <c r="B463" s="20" t="inlineStr">
        <is>
          <t>البحث عن منفذ لخروج السيد رامبو</t>
        </is>
      </c>
      <c r="C463" s="20" t="inlineStr">
        <is>
          <t>El Ba7th 3an Manfaz le Khoroog el Sayed Rambo</t>
        </is>
      </c>
      <c r="D463" s="20" t="inlineStr">
        <is>
          <t>Film</t>
        </is>
      </c>
      <c r="E463" s="20" t="n">
        <v>2025</v>
      </c>
      <c r="F463">
        <f>IF(E463="","",IF(E463&lt;1970,"Abyad w eswed",IF(E463&lt;2000,"70s-90s",IF(E463&lt;2015,"2000s","Gedeed"))))</f>
        <v/>
      </c>
      <c r="G463" s="20" t="inlineStr">
        <is>
          <t>Sa3b</t>
        </is>
      </c>
      <c r="H463" s="20" t="inlineStr">
        <is>
          <t>Drama</t>
        </is>
      </c>
      <c r="I463" s="20" t="inlineStr">
        <is>
          <t>عصام عمر</t>
        </is>
      </c>
      <c r="J463" s="20" t="inlineStr"/>
      <c r="K463" s="20" t="inlineStr"/>
      <c r="L463">
        <f>IF(B463="","",IF(LEFT(TRIM(B463),2)="ال",MID(TRIM(B463),3,1),LEFT(TRIM(B463),1)))</f>
        <v/>
      </c>
      <c r="M463">
        <f>IF(B463="","",LEN(TRIM(B463))-LEN(SUBSTITUTE(TRIM(B463)," ",""))+1)</f>
        <v/>
      </c>
      <c r="N463" t="inlineStr">
        <is>
          <t>Draft</t>
        </is>
      </c>
    </row>
    <row r="464">
      <c r="A464" t="n">
        <v>463</v>
      </c>
      <c r="B464" s="20" t="inlineStr">
        <is>
          <t>سفن دوجز</t>
        </is>
      </c>
      <c r="C464" s="20" t="inlineStr">
        <is>
          <t>Seven Dogs</t>
        </is>
      </c>
      <c r="D464" s="20" t="inlineStr">
        <is>
          <t>Film</t>
        </is>
      </c>
      <c r="E464" s="20" t="n">
        <v>2026</v>
      </c>
      <c r="F464">
        <f>IF(E464="","",IF(E464&lt;1970,"Abyad w eswed",IF(E464&lt;2000,"70s-90s",IF(E464&lt;2015,"2000s","Gedeed"))))</f>
        <v/>
      </c>
      <c r="G464" s="20" t="inlineStr">
        <is>
          <t>Wasat</t>
        </is>
      </c>
      <c r="H464" s="20" t="inlineStr">
        <is>
          <t>Action</t>
        </is>
      </c>
      <c r="I464" s="20" t="inlineStr">
        <is>
          <t>كريم عبد العزيز</t>
        </is>
      </c>
      <c r="J464" s="20" t="inlineStr"/>
      <c r="K464" s="20" t="inlineStr"/>
      <c r="L464">
        <f>IF(B464="","",IF(LEFT(TRIM(B464),2)="ال",MID(TRIM(B464),3,1),LEFT(TRIM(B464),1)))</f>
        <v/>
      </c>
      <c r="M464">
        <f>IF(B464="","",LEN(TRIM(B464))-LEN(SUBSTITUTE(TRIM(B464)," ",""))+1)</f>
        <v/>
      </c>
      <c r="N464" t="inlineStr">
        <is>
          <t>Draft</t>
        </is>
      </c>
    </row>
    <row r="465">
      <c r="A465" t="n">
        <v>464</v>
      </c>
      <c r="B465" s="20" t="inlineStr">
        <is>
          <t>صقر وكناريا</t>
        </is>
      </c>
      <c r="C465" s="20" t="inlineStr">
        <is>
          <t>Sa2r w Kanarya</t>
        </is>
      </c>
      <c r="D465" s="20" t="inlineStr">
        <is>
          <t>Film</t>
        </is>
      </c>
      <c r="E465" s="20" t="n">
        <v>2026</v>
      </c>
      <c r="F465">
        <f>IF(E465="","",IF(E465&lt;1970,"Abyad w eswed",IF(E465&lt;2000,"70s-90s",IF(E465&lt;2015,"2000s","Gedeed"))))</f>
        <v/>
      </c>
      <c r="G465" s="20" t="inlineStr">
        <is>
          <t>Wasat</t>
        </is>
      </c>
      <c r="H465" s="20" t="inlineStr">
        <is>
          <t>Comedy</t>
        </is>
      </c>
      <c r="I465" s="20" t="inlineStr">
        <is>
          <t>محمد إمام</t>
        </is>
      </c>
      <c r="J465" s="20" t="inlineStr"/>
      <c r="K465" s="20" t="inlineStr"/>
      <c r="L465">
        <f>IF(B465="","",IF(LEFT(TRIM(B465),2)="ال",MID(TRIM(B465),3,1),LEFT(TRIM(B465),1)))</f>
        <v/>
      </c>
      <c r="M465">
        <f>IF(B465="","",LEN(TRIM(B465))-LEN(SUBSTITUTE(TRIM(B465)," ",""))+1)</f>
        <v/>
      </c>
      <c r="N465" t="inlineStr">
        <is>
          <t>Draft</t>
        </is>
      </c>
    </row>
    <row r="466">
      <c r="A466" t="n">
        <v>465</v>
      </c>
      <c r="B466" s="20" t="inlineStr">
        <is>
          <t>خلي بالك من نفسك</t>
        </is>
      </c>
      <c r="C466" s="20" t="inlineStr">
        <is>
          <t>Khally Balak men Nafsak</t>
        </is>
      </c>
      <c r="D466" s="20" t="inlineStr">
        <is>
          <t>Film</t>
        </is>
      </c>
      <c r="E466" s="20" t="n">
        <v>2026</v>
      </c>
      <c r="F466">
        <f>IF(E466="","",IF(E466&lt;1970,"Abyad w eswed",IF(E466&lt;2000,"70s-90s",IF(E466&lt;2015,"2000s","Gedeed"))))</f>
        <v/>
      </c>
      <c r="G466" s="20" t="inlineStr">
        <is>
          <t>Wasat</t>
        </is>
      </c>
      <c r="H466" s="20" t="inlineStr">
        <is>
          <t>Comedy</t>
        </is>
      </c>
      <c r="I466" s="20" t="inlineStr">
        <is>
          <t>أحمد السقا</t>
        </is>
      </c>
      <c r="J466" s="20" t="inlineStr"/>
      <c r="K466" s="20" t="inlineStr"/>
      <c r="L466">
        <f>IF(B466="","",IF(LEFT(TRIM(B466),2)="ال",MID(TRIM(B466),3,1),LEFT(TRIM(B466),1)))</f>
        <v/>
      </c>
      <c r="M466">
        <f>IF(B466="","",LEN(TRIM(B466))-LEN(SUBSTITUTE(TRIM(B466)," ",""))+1)</f>
        <v/>
      </c>
      <c r="N466" t="inlineStr">
        <is>
          <t>Draft</t>
        </is>
      </c>
    </row>
    <row r="467">
      <c r="A467" t="n">
        <v>466</v>
      </c>
      <c r="B467" s="20" t="inlineStr">
        <is>
          <t>محمود التاني</t>
        </is>
      </c>
      <c r="C467" s="20" t="inlineStr">
        <is>
          <t>Ma7moud el Tany</t>
        </is>
      </c>
      <c r="D467" s="20" t="inlineStr">
        <is>
          <t>Film</t>
        </is>
      </c>
      <c r="E467" s="20" t="n">
        <v>2026</v>
      </c>
      <c r="F467">
        <f>IF(E467="","",IF(E467&lt;1970,"Abyad w eswed",IF(E467&lt;2000,"70s-90s",IF(E467&lt;2015,"2000s","Gedeed"))))</f>
        <v/>
      </c>
      <c r="G467" s="20" t="inlineStr">
        <is>
          <t>Sa3b</t>
        </is>
      </c>
      <c r="H467" s="20" t="inlineStr">
        <is>
          <t>Comedy</t>
        </is>
      </c>
      <c r="I467" s="20" t="inlineStr">
        <is>
          <t>أحمد غزي</t>
        </is>
      </c>
      <c r="J467" s="20" t="inlineStr"/>
      <c r="K467" s="20" t="inlineStr"/>
      <c r="L467">
        <f>IF(B467="","",IF(LEFT(TRIM(B467),2)="ال",MID(TRIM(B467),3,1),LEFT(TRIM(B467),1)))</f>
        <v/>
      </c>
      <c r="M467">
        <f>IF(B467="","",LEN(TRIM(B467))-LEN(SUBSTITUTE(TRIM(B467)," ",""))+1)</f>
        <v/>
      </c>
      <c r="N467" t="inlineStr">
        <is>
          <t>Draft</t>
        </is>
      </c>
    </row>
    <row r="468">
      <c r="A468" t="n">
        <v>467</v>
      </c>
      <c r="B468" s="20" t="inlineStr">
        <is>
          <t>ريد فلاج</t>
        </is>
      </c>
      <c r="C468" s="20" t="inlineStr">
        <is>
          <t>Red Flag</t>
        </is>
      </c>
      <c r="D468" s="20" t="inlineStr">
        <is>
          <t>Film</t>
        </is>
      </c>
      <c r="E468" s="20" t="n">
        <v>2026</v>
      </c>
      <c r="F468">
        <f>IF(E468="","",IF(E468&lt;1970,"Abyad w eswed",IF(E468&lt;2000,"70s-90s",IF(E468&lt;2015,"2000s","Gedeed"))))</f>
        <v/>
      </c>
      <c r="G468" s="20" t="inlineStr">
        <is>
          <t>Wasat</t>
        </is>
      </c>
      <c r="H468" s="20" t="inlineStr">
        <is>
          <t>Romance</t>
        </is>
      </c>
      <c r="I468" s="20" t="inlineStr">
        <is>
          <t>أحمد حاتم</t>
        </is>
      </c>
      <c r="J468" s="20" t="inlineStr"/>
      <c r="K468" s="20" t="inlineStr"/>
      <c r="L468">
        <f>IF(B468="","",IF(LEFT(TRIM(B468),2)="ال",MID(TRIM(B468),3,1),LEFT(TRIM(B468),1)))</f>
        <v/>
      </c>
      <c r="M468">
        <f>IF(B468="","",LEN(TRIM(B468))-LEN(SUBSTITUTE(TRIM(B468)," ",""))+1)</f>
        <v/>
      </c>
      <c r="N468" t="inlineStr">
        <is>
          <t>Draft</t>
        </is>
      </c>
    </row>
    <row r="469">
      <c r="A469" t="n">
        <v>468</v>
      </c>
      <c r="B469" s="20" t="inlineStr">
        <is>
          <t>ولا كان عالبال</t>
        </is>
      </c>
      <c r="C469" s="20" t="inlineStr">
        <is>
          <t>Wala Kan 3al Bal</t>
        </is>
      </c>
      <c r="D469" s="20" t="inlineStr">
        <is>
          <t>Film</t>
        </is>
      </c>
      <c r="E469" s="20" t="n">
        <v>2026</v>
      </c>
      <c r="F469">
        <f>IF(E469="","",IF(E469&lt;1970,"Abyad w eswed",IF(E469&lt;2000,"70s-90s",IF(E469&lt;2015,"2000s","Gedeed"))))</f>
        <v/>
      </c>
      <c r="G469" s="20" t="inlineStr">
        <is>
          <t>Sa3b</t>
        </is>
      </c>
      <c r="H469" s="20" t="inlineStr">
        <is>
          <t>Comedy</t>
        </is>
      </c>
      <c r="I469" s="20" t="inlineStr"/>
      <c r="J469" s="20" t="inlineStr"/>
      <c r="K469" s="20" t="inlineStr"/>
      <c r="L469">
        <f>IF(B469="","",IF(LEFT(TRIM(B469),2)="ال",MID(TRIM(B469),3,1),LEFT(TRIM(B469),1)))</f>
        <v/>
      </c>
      <c r="M469">
        <f>IF(B469="","",LEN(TRIM(B469))-LEN(SUBSTITUTE(TRIM(B469)," ",""))+1)</f>
        <v/>
      </c>
      <c r="N469" t="inlineStr">
        <is>
          <t>Draft</t>
        </is>
      </c>
    </row>
    <row r="470">
      <c r="A470" t="n">
        <v>469</v>
      </c>
      <c r="B470" s="20" t="inlineStr">
        <is>
          <t>مطلوب عائلياً</t>
        </is>
      </c>
      <c r="C470" s="20" t="inlineStr">
        <is>
          <t>Matloob 3a2elyan</t>
        </is>
      </c>
      <c r="D470" s="20" t="inlineStr">
        <is>
          <t>Film</t>
        </is>
      </c>
      <c r="E470" s="20" t="n">
        <v>2026</v>
      </c>
      <c r="F470">
        <f>IF(E470="","",IF(E470&lt;1970,"Abyad w eswed",IF(E470&lt;2000,"70s-90s",IF(E470&lt;2015,"2000s","Gedeed"))))</f>
        <v/>
      </c>
      <c r="G470" s="20" t="inlineStr">
        <is>
          <t>Sa3b</t>
        </is>
      </c>
      <c r="H470" s="20" t="inlineStr">
        <is>
          <t>Comedy</t>
        </is>
      </c>
      <c r="I470" s="20" t="inlineStr"/>
      <c r="J470" s="20" t="inlineStr"/>
      <c r="K470" s="20" t="inlineStr"/>
      <c r="L470">
        <f>IF(B470="","",IF(LEFT(TRIM(B470),2)="ال",MID(TRIM(B470),3,1),LEFT(TRIM(B470),1)))</f>
        <v/>
      </c>
      <c r="M470">
        <f>IF(B470="","",LEN(TRIM(B470))-LEN(SUBSTITUTE(TRIM(B470)," ",""))+1)</f>
        <v/>
      </c>
      <c r="N470" t="inlineStr">
        <is>
          <t>Draft</t>
        </is>
      </c>
    </row>
    <row r="471">
      <c r="A471" t="n">
        <v>470</v>
      </c>
      <c r="B471" s="20" t="inlineStr">
        <is>
          <t>شمشون ودليلة</t>
        </is>
      </c>
      <c r="C471" s="20" t="inlineStr">
        <is>
          <t>Shamshoon w Dalila</t>
        </is>
      </c>
      <c r="D471" s="20" t="inlineStr">
        <is>
          <t>Film</t>
        </is>
      </c>
      <c r="E471" s="20" t="n">
        <v>2026</v>
      </c>
      <c r="F471">
        <f>IF(E471="","",IF(E471&lt;1970,"Abyad w eswed",IF(E471&lt;2000,"70s-90s",IF(E471&lt;2015,"2000s","Gedeed"))))</f>
        <v/>
      </c>
      <c r="G471" s="20" t="inlineStr">
        <is>
          <t>Wasat</t>
        </is>
      </c>
      <c r="H471" s="20" t="inlineStr">
        <is>
          <t>Action</t>
        </is>
      </c>
      <c r="I471" s="20" t="inlineStr">
        <is>
          <t>أحمد العوضي</t>
        </is>
      </c>
      <c r="J471" s="20" t="inlineStr"/>
      <c r="K471" s="20" t="inlineStr"/>
      <c r="L471">
        <f>IF(B471="","",IF(LEFT(TRIM(B471),2)="ال",MID(TRIM(B471),3,1),LEFT(TRIM(B471),1)))</f>
        <v/>
      </c>
      <c r="M471">
        <f>IF(B471="","",LEN(TRIM(B471))-LEN(SUBSTITUTE(TRIM(B471)," ",""))+1)</f>
        <v/>
      </c>
      <c r="N471" t="inlineStr">
        <is>
          <t>Draft</t>
        </is>
      </c>
    </row>
    <row r="472">
      <c r="A472" t="n">
        <v>471</v>
      </c>
      <c r="B472" s="20" t="inlineStr">
        <is>
          <t>ابن مين فيهم</t>
        </is>
      </c>
      <c r="C472" s="20" t="inlineStr">
        <is>
          <t>Ebn Meen Fihom</t>
        </is>
      </c>
      <c r="D472" s="20" t="inlineStr">
        <is>
          <t>Film</t>
        </is>
      </c>
      <c r="E472" s="20" t="n">
        <v>2026</v>
      </c>
      <c r="F472">
        <f>IF(E472="","",IF(E472&lt;1970,"Abyad w eswed",IF(E472&lt;2000,"70s-90s",IF(E472&lt;2015,"2000s","Gedeed"))))</f>
        <v/>
      </c>
      <c r="G472" s="20" t="inlineStr">
        <is>
          <t>Wasat</t>
        </is>
      </c>
      <c r="H472" s="20" t="inlineStr">
        <is>
          <t>Comedy</t>
        </is>
      </c>
      <c r="I472" s="20" t="inlineStr">
        <is>
          <t>ليلى علوي</t>
        </is>
      </c>
      <c r="J472" s="20" t="inlineStr"/>
      <c r="K472" s="20" t="inlineStr"/>
      <c r="L472">
        <f>IF(B472="","",IF(LEFT(TRIM(B472),2)="ال",MID(TRIM(B472),3,1),LEFT(TRIM(B472),1)))</f>
        <v/>
      </c>
      <c r="M472">
        <f>IF(B472="","",LEN(TRIM(B472))-LEN(SUBSTITUTE(TRIM(B472)," ",""))+1)</f>
        <v/>
      </c>
      <c r="N472" t="inlineStr">
        <is>
          <t>Draft</t>
        </is>
      </c>
    </row>
    <row r="473">
      <c r="A473" t="n">
        <v>472</v>
      </c>
      <c r="B473" s="20" t="inlineStr">
        <is>
          <t>حدوتة</t>
        </is>
      </c>
      <c r="C473" s="20" t="inlineStr">
        <is>
          <t>7addouta</t>
        </is>
      </c>
      <c r="D473" s="20" t="inlineStr">
        <is>
          <t>Film</t>
        </is>
      </c>
      <c r="E473" s="20" t="n">
        <v>2026</v>
      </c>
      <c r="F473">
        <f>IF(E473="","",IF(E473&lt;1970,"Abyad w eswed",IF(E473&lt;2000,"70s-90s",IF(E473&lt;2015,"2000s","Gedeed"))))</f>
        <v/>
      </c>
      <c r="G473" s="20" t="inlineStr">
        <is>
          <t>Wasat</t>
        </is>
      </c>
      <c r="H473" s="20" t="inlineStr">
        <is>
          <t>Comedy</t>
        </is>
      </c>
      <c r="I473" s="20" t="inlineStr">
        <is>
          <t>أحمد حلمي</t>
        </is>
      </c>
      <c r="J473" s="20" t="inlineStr"/>
      <c r="K473" s="20" t="inlineStr"/>
      <c r="L473">
        <f>IF(B473="","",IF(LEFT(TRIM(B473),2)="ال",MID(TRIM(B473),3,1),LEFT(TRIM(B473),1)))</f>
        <v/>
      </c>
      <c r="M473">
        <f>IF(B473="","",LEN(TRIM(B473))-LEN(SUBSTITUTE(TRIM(B473)," ",""))+1)</f>
        <v/>
      </c>
      <c r="N473" t="inlineStr">
        <is>
          <t>Draft</t>
        </is>
      </c>
    </row>
    <row r="474">
      <c r="A474" t="n">
        <v>473</v>
      </c>
      <c r="B474" s="20" t="inlineStr">
        <is>
          <t>طالع نازل</t>
        </is>
      </c>
      <c r="C474" s="20" t="inlineStr">
        <is>
          <t>Tale3 Nazel</t>
        </is>
      </c>
      <c r="D474" s="20" t="inlineStr">
        <is>
          <t>Film</t>
        </is>
      </c>
      <c r="E474" s="20" t="n">
        <v>2026</v>
      </c>
      <c r="F474">
        <f>IF(E474="","",IF(E474&lt;1970,"Abyad w eswed",IF(E474&lt;2000,"70s-90s",IF(E474&lt;2015,"2000s","Gedeed"))))</f>
        <v/>
      </c>
      <c r="G474" s="20" t="inlineStr">
        <is>
          <t>Sa3b</t>
        </is>
      </c>
      <c r="H474" s="20" t="inlineStr">
        <is>
          <t>Comedy</t>
        </is>
      </c>
      <c r="I474" s="20" t="inlineStr">
        <is>
          <t>منى زكي</t>
        </is>
      </c>
      <c r="J474" s="20" t="inlineStr"/>
      <c r="K474" s="20" t="inlineStr"/>
      <c r="L474">
        <f>IF(B474="","",IF(LEFT(TRIM(B474),2)="ال",MID(TRIM(B474),3,1),LEFT(TRIM(B474),1)))</f>
        <v/>
      </c>
      <c r="M474">
        <f>IF(B474="","",LEN(TRIM(B474))-LEN(SUBSTITUTE(TRIM(B474)," ",""))+1)</f>
        <v/>
      </c>
      <c r="N474" t="inlineStr">
        <is>
          <t>Draft</t>
        </is>
      </c>
    </row>
    <row r="475">
      <c r="A475" t="n">
        <v>474</v>
      </c>
      <c r="B475" s="20" t="inlineStr">
        <is>
          <t>نصيب</t>
        </is>
      </c>
      <c r="C475" s="20" t="inlineStr">
        <is>
          <t>Naseeb</t>
        </is>
      </c>
      <c r="D475" s="20" t="inlineStr">
        <is>
          <t>Film</t>
        </is>
      </c>
      <c r="E475" s="20" t="n">
        <v>2026</v>
      </c>
      <c r="F475">
        <f>IF(E475="","",IF(E475&lt;1970,"Abyad w eswed",IF(E475&lt;2000,"70s-90s",IF(E475&lt;2015,"2000s","Gedeed"))))</f>
        <v/>
      </c>
      <c r="G475" s="20" t="inlineStr">
        <is>
          <t>Sa3b</t>
        </is>
      </c>
      <c r="H475" s="20" t="inlineStr">
        <is>
          <t>Romance</t>
        </is>
      </c>
      <c r="I475" s="20" t="inlineStr">
        <is>
          <t>ياسمين صبري</t>
        </is>
      </c>
      <c r="J475" s="20" t="inlineStr"/>
      <c r="K475" s="20" t="inlineStr"/>
      <c r="L475">
        <f>IF(B475="","",IF(LEFT(TRIM(B475),2)="ال",MID(TRIM(B475),3,1),LEFT(TRIM(B475),1)))</f>
        <v/>
      </c>
      <c r="M475">
        <f>IF(B475="","",LEN(TRIM(B475))-LEN(SUBSTITUTE(TRIM(B475)," ",""))+1)</f>
        <v/>
      </c>
      <c r="N475" t="inlineStr">
        <is>
          <t>Draft</t>
        </is>
      </c>
    </row>
    <row r="476">
      <c r="A476" t="n">
        <v>475</v>
      </c>
      <c r="B476" s="20" t="inlineStr">
        <is>
          <t>كريبتو</t>
        </is>
      </c>
      <c r="C476" s="20" t="inlineStr">
        <is>
          <t>Crypto</t>
        </is>
      </c>
      <c r="D476" s="20" t="inlineStr">
        <is>
          <t>Film</t>
        </is>
      </c>
      <c r="E476" s="20" t="n">
        <v>2026</v>
      </c>
      <c r="F476">
        <f>IF(E476="","",IF(E476&lt;1970,"Abyad w eswed",IF(E476&lt;2000,"70s-90s",IF(E476&lt;2015,"2000s","Gedeed"))))</f>
        <v/>
      </c>
      <c r="G476" s="20" t="inlineStr">
        <is>
          <t>Sa3b</t>
        </is>
      </c>
      <c r="H476" s="20" t="inlineStr">
        <is>
          <t>Comedy</t>
        </is>
      </c>
      <c r="I476" s="20" t="inlineStr">
        <is>
          <t>حمدي الميرغني</t>
        </is>
      </c>
      <c r="J476" s="20" t="inlineStr"/>
      <c r="K476" s="20" t="inlineStr"/>
      <c r="L476">
        <f>IF(B476="","",IF(LEFT(TRIM(B476),2)="ال",MID(TRIM(B476),3,1),LEFT(TRIM(B476),1)))</f>
        <v/>
      </c>
      <c r="M476">
        <f>IF(B476="","",LEN(TRIM(B476))-LEN(SUBSTITUTE(TRIM(B476)," ",""))+1)</f>
        <v/>
      </c>
      <c r="N476" t="inlineStr">
        <is>
          <t>Draft</t>
        </is>
      </c>
    </row>
    <row r="477">
      <c r="A477" t="n">
        <v>476</v>
      </c>
      <c r="B477" s="20" t="inlineStr">
        <is>
          <t>شكوى رقم 713317</t>
        </is>
      </c>
      <c r="C477" s="20" t="inlineStr">
        <is>
          <t>Shakwa Raqam 713317</t>
        </is>
      </c>
      <c r="D477" s="20" t="inlineStr">
        <is>
          <t>Film</t>
        </is>
      </c>
      <c r="E477" s="20" t="n">
        <v>2026</v>
      </c>
      <c r="F477">
        <f>IF(E477="","",IF(E477&lt;1970,"Abyad w eswed",IF(E477&lt;2000,"70s-90s",IF(E477&lt;2015,"2000s","Gedeed"))))</f>
        <v/>
      </c>
      <c r="G477" s="20" t="inlineStr">
        <is>
          <t>Sa3b</t>
        </is>
      </c>
      <c r="H477" s="20" t="inlineStr">
        <is>
          <t>Drama</t>
        </is>
      </c>
      <c r="I477" s="20" t="inlineStr">
        <is>
          <t>محمود حميدة</t>
        </is>
      </c>
      <c r="J477" s="20" t="inlineStr"/>
      <c r="K477" s="20" t="inlineStr"/>
      <c r="L477">
        <f>IF(B477="","",IF(LEFT(TRIM(B477),2)="ال",MID(TRIM(B477),3,1),LEFT(TRIM(B477),1)))</f>
        <v/>
      </c>
      <c r="M477">
        <f>IF(B477="","",LEN(TRIM(B477))-LEN(SUBSTITUTE(TRIM(B477)," ",""))+1)</f>
        <v/>
      </c>
      <c r="N477" t="inlineStr">
        <is>
          <t>Draft</t>
        </is>
      </c>
    </row>
    <row r="478">
      <c r="A478" t="n">
        <v>477</v>
      </c>
      <c r="B478" s="20" t="inlineStr">
        <is>
          <t>رحلة 404</t>
        </is>
      </c>
      <c r="C478" s="20" t="inlineStr">
        <is>
          <t>Re7la 404</t>
        </is>
      </c>
      <c r="D478" s="20" t="inlineStr">
        <is>
          <t>Film</t>
        </is>
      </c>
      <c r="E478" s="20" t="n">
        <v>2024</v>
      </c>
      <c r="F478">
        <f>IF(E478="","",IF(E478&lt;1970,"Abyad w eswed",IF(E478&lt;2000,"70s-90s",IF(E478&lt;2015,"2000s","Gedeed"))))</f>
        <v/>
      </c>
      <c r="G478" s="20" t="inlineStr">
        <is>
          <t>Sa3b</t>
        </is>
      </c>
      <c r="H478" s="20" t="inlineStr">
        <is>
          <t>Drama</t>
        </is>
      </c>
      <c r="I478" s="20" t="inlineStr">
        <is>
          <t>منى زكي</t>
        </is>
      </c>
      <c r="J478" s="20" t="inlineStr"/>
      <c r="K478" s="20" t="inlineStr"/>
      <c r="L478">
        <f>IF(B478="","",IF(LEFT(TRIM(B478),2)="ال",MID(TRIM(B478),3,1),LEFT(TRIM(B478),1)))</f>
        <v/>
      </c>
      <c r="M478">
        <f>IF(B478="","",LEN(TRIM(B478))-LEN(SUBSTITUTE(TRIM(B478)," ",""))+1)</f>
        <v/>
      </c>
      <c r="N478" t="inlineStr">
        <is>
          <t>Draft</t>
        </is>
      </c>
    </row>
    <row r="479">
      <c r="A479" t="n">
        <v>478</v>
      </c>
      <c r="B479" s="20" t="inlineStr">
        <is>
          <t>الفستان الأبيض</t>
        </is>
      </c>
      <c r="C479" s="20" t="inlineStr">
        <is>
          <t>El Fostan el Abyad</t>
        </is>
      </c>
      <c r="D479" s="20" t="inlineStr">
        <is>
          <t>Film</t>
        </is>
      </c>
      <c r="E479" s="20" t="n">
        <v>2023</v>
      </c>
      <c r="F479">
        <f>IF(E479="","",IF(E479&lt;1970,"Abyad w eswed",IF(E479&lt;2000,"70s-90s",IF(E479&lt;2015,"2000s","Gedeed"))))</f>
        <v/>
      </c>
      <c r="G479" s="20" t="inlineStr">
        <is>
          <t>Sa3b</t>
        </is>
      </c>
      <c r="H479" s="20" t="inlineStr">
        <is>
          <t>Drama</t>
        </is>
      </c>
      <c r="I479" s="20" t="inlineStr">
        <is>
          <t>ياسمين رئيس</t>
        </is>
      </c>
      <c r="J479" s="20" t="inlineStr"/>
      <c r="K479" s="20" t="inlineStr"/>
      <c r="L479">
        <f>IF(B479="","",IF(LEFT(TRIM(B479),2)="ال",MID(TRIM(B479),3,1),LEFT(TRIM(B479),1)))</f>
        <v/>
      </c>
      <c r="M479">
        <f>IF(B479="","",LEN(TRIM(B479))-LEN(SUBSTITUTE(TRIM(B479)," ",""))+1)</f>
        <v/>
      </c>
      <c r="N479" t="inlineStr">
        <is>
          <t>Draft</t>
        </is>
      </c>
    </row>
    <row r="480">
      <c r="A480" t="n">
        <v>479</v>
      </c>
      <c r="B480" s="20" t="inlineStr">
        <is>
          <t>جوازة توكسيك</t>
        </is>
      </c>
      <c r="C480" s="20" t="inlineStr">
        <is>
          <t>Gawaza Toxic</t>
        </is>
      </c>
      <c r="D480" s="20" t="inlineStr">
        <is>
          <t>Film</t>
        </is>
      </c>
      <c r="E480" s="20" t="n">
        <v>2023</v>
      </c>
      <c r="F480">
        <f>IF(E480="","",IF(E480&lt;1970,"Abyad w eswed",IF(E480&lt;2000,"70s-90s",IF(E480&lt;2015,"2000s","Gedeed"))))</f>
        <v/>
      </c>
      <c r="G480" s="20" t="inlineStr">
        <is>
          <t>Wasat</t>
        </is>
      </c>
      <c r="H480" s="20" t="inlineStr">
        <is>
          <t>Comedy</t>
        </is>
      </c>
      <c r="I480" s="20" t="inlineStr">
        <is>
          <t>ليلى علوي</t>
        </is>
      </c>
      <c r="J480" s="20" t="inlineStr"/>
      <c r="K480" s="20" t="inlineStr"/>
      <c r="L480">
        <f>IF(B480="","",IF(LEFT(TRIM(B480),2)="ال",MID(TRIM(B480),3,1),LEFT(TRIM(B480),1)))</f>
        <v/>
      </c>
      <c r="M480">
        <f>IF(B480="","",LEN(TRIM(B480))-LEN(SUBSTITUTE(TRIM(B480)," ",""))+1)</f>
        <v/>
      </c>
      <c r="N480" t="inlineStr">
        <is>
          <t>Draft</t>
        </is>
      </c>
    </row>
    <row r="481">
      <c r="A481" t="n">
        <v>480</v>
      </c>
      <c r="B481" s="20" t="inlineStr">
        <is>
          <t>بعد الشر</t>
        </is>
      </c>
      <c r="C481" s="20" t="inlineStr">
        <is>
          <t>Ba3d el Sharr</t>
        </is>
      </c>
      <c r="D481" s="20" t="inlineStr">
        <is>
          <t>Film</t>
        </is>
      </c>
      <c r="E481" s="20" t="n">
        <v>2023</v>
      </c>
      <c r="F481">
        <f>IF(E481="","",IF(E481&lt;1970,"Abyad w eswed",IF(E481&lt;2000,"70s-90s",IF(E481&lt;2015,"2000s","Gedeed"))))</f>
        <v/>
      </c>
      <c r="G481" s="20" t="inlineStr">
        <is>
          <t>Sa3b</t>
        </is>
      </c>
      <c r="H481" s="20" t="inlineStr">
        <is>
          <t>Comedy</t>
        </is>
      </c>
      <c r="I481" s="20" t="inlineStr">
        <is>
          <t>علي ربيع</t>
        </is>
      </c>
      <c r="J481" s="20" t="inlineStr"/>
      <c r="K481" s="20" t="inlineStr"/>
      <c r="L481">
        <f>IF(B481="","",IF(LEFT(TRIM(B481),2)="ال",MID(TRIM(B481),3,1),LEFT(TRIM(B481),1)))</f>
        <v/>
      </c>
      <c r="M481">
        <f>IF(B481="","",LEN(TRIM(B481))-LEN(SUBSTITUTE(TRIM(B481)," ",""))+1)</f>
        <v/>
      </c>
      <c r="N481" t="inlineStr">
        <is>
          <t>Draft</t>
        </is>
      </c>
    </row>
    <row r="482">
      <c r="A482" t="n">
        <v>481</v>
      </c>
      <c r="B482" s="20" t="inlineStr">
        <is>
          <t>200 جنيه</t>
        </is>
      </c>
      <c r="C482" s="20" t="inlineStr">
        <is>
          <t>200 Geneh</t>
        </is>
      </c>
      <c r="D482" s="20" t="inlineStr">
        <is>
          <t>Film</t>
        </is>
      </c>
      <c r="E482" s="20" t="n">
        <v>2021</v>
      </c>
      <c r="F482">
        <f>IF(E482="","",IF(E482&lt;1970,"Abyad w eswed",IF(E482&lt;2000,"70s-90s",IF(E482&lt;2015,"2000s","Gedeed"))))</f>
        <v/>
      </c>
      <c r="G482" s="20" t="inlineStr">
        <is>
          <t>Wasat</t>
        </is>
      </c>
      <c r="H482" s="20" t="inlineStr">
        <is>
          <t>Drama</t>
        </is>
      </c>
      <c r="I482" s="20" t="inlineStr">
        <is>
          <t>إسعاد يونس</t>
        </is>
      </c>
      <c r="J482" s="20" t="inlineStr"/>
      <c r="K482" s="20" t="inlineStr"/>
      <c r="L482">
        <f>IF(B482="","",IF(LEFT(TRIM(B482),2)="ال",MID(TRIM(B482),3,1),LEFT(TRIM(B482),1)))</f>
        <v/>
      </c>
      <c r="M482">
        <f>IF(B482="","",LEN(TRIM(B482))-LEN(SUBSTITUTE(TRIM(B482)," ",""))+1)</f>
        <v/>
      </c>
      <c r="N482" t="inlineStr">
        <is>
          <t>Draft</t>
        </is>
      </c>
    </row>
    <row r="483">
      <c r="A483" t="n">
        <v>482</v>
      </c>
      <c r="B483" s="20" t="inlineStr">
        <is>
          <t>صاحب المقام</t>
        </is>
      </c>
      <c r="C483" s="20" t="inlineStr">
        <is>
          <t>Sa7eb el Maqam</t>
        </is>
      </c>
      <c r="D483" s="20" t="inlineStr">
        <is>
          <t>Film</t>
        </is>
      </c>
      <c r="E483" s="20" t="n">
        <v>2020</v>
      </c>
      <c r="F483">
        <f>IF(E483="","",IF(E483&lt;1970,"Abyad w eswed",IF(E483&lt;2000,"70s-90s",IF(E483&lt;2015,"2000s","Gedeed"))))</f>
        <v/>
      </c>
      <c r="G483" s="20" t="inlineStr">
        <is>
          <t>Wasat</t>
        </is>
      </c>
      <c r="H483" s="20" t="inlineStr">
        <is>
          <t>Drama</t>
        </is>
      </c>
      <c r="I483" s="20" t="inlineStr">
        <is>
          <t>آسر ياسين</t>
        </is>
      </c>
      <c r="J483" s="20" t="inlineStr"/>
      <c r="K483" s="20" t="inlineStr"/>
      <c r="L483">
        <f>IF(B483="","",IF(LEFT(TRIM(B483),2)="ال",MID(TRIM(B483),3,1),LEFT(TRIM(B483),1)))</f>
        <v/>
      </c>
      <c r="M483">
        <f>IF(B483="","",LEN(TRIM(B483))-LEN(SUBSTITUTE(TRIM(B483)," ",""))+1)</f>
        <v/>
      </c>
      <c r="N483" t="inlineStr">
        <is>
          <t>Draft</t>
        </is>
      </c>
    </row>
    <row r="484">
      <c r="A484" t="n">
        <v>483</v>
      </c>
      <c r="B484" s="20" t="inlineStr">
        <is>
          <t>الصندوق الأسود</t>
        </is>
      </c>
      <c r="C484" s="20" t="inlineStr">
        <is>
          <t>El Sandoo2 el Eswed</t>
        </is>
      </c>
      <c r="D484" s="20" t="inlineStr">
        <is>
          <t>Film</t>
        </is>
      </c>
      <c r="E484" s="20" t="n">
        <v>2020</v>
      </c>
      <c r="F484">
        <f>IF(E484="","",IF(E484&lt;1970,"Abyad w eswed",IF(E484&lt;2000,"70s-90s",IF(E484&lt;2015,"2000s","Gedeed"))))</f>
        <v/>
      </c>
      <c r="G484" s="20" t="inlineStr">
        <is>
          <t>Sa3b</t>
        </is>
      </c>
      <c r="H484" s="20" t="inlineStr">
        <is>
          <t>Thriller</t>
        </is>
      </c>
      <c r="I484" s="20" t="inlineStr">
        <is>
          <t>منى زكي</t>
        </is>
      </c>
      <c r="J484" s="20" t="inlineStr"/>
      <c r="K484" s="20" t="inlineStr"/>
      <c r="L484">
        <f>IF(B484="","",IF(LEFT(TRIM(B484),2)="ال",MID(TRIM(B484),3,1),LEFT(TRIM(B484),1)))</f>
        <v/>
      </c>
      <c r="M484">
        <f>IF(B484="","",LEN(TRIM(B484))-LEN(SUBSTITUTE(TRIM(B484)," ",""))+1)</f>
        <v/>
      </c>
      <c r="N484" t="inlineStr">
        <is>
          <t>Draft</t>
        </is>
      </c>
    </row>
    <row r="485">
      <c r="A485" t="n">
        <v>484</v>
      </c>
      <c r="B485" s="20" t="inlineStr">
        <is>
          <t>الكاهن</t>
        </is>
      </c>
      <c r="C485" s="20" t="inlineStr">
        <is>
          <t>El Kahen</t>
        </is>
      </c>
      <c r="D485" s="20" t="inlineStr">
        <is>
          <t>Film</t>
        </is>
      </c>
      <c r="E485" s="20" t="n">
        <v>2021</v>
      </c>
      <c r="F485">
        <f>IF(E485="","",IF(E485&lt;1970,"Abyad w eswed",IF(E485&lt;2000,"70s-90s",IF(E485&lt;2015,"2000s","Gedeed"))))</f>
        <v/>
      </c>
      <c r="G485" s="20" t="inlineStr">
        <is>
          <t>Sa3b</t>
        </is>
      </c>
      <c r="H485" s="20" t="inlineStr">
        <is>
          <t>Thriller</t>
        </is>
      </c>
      <c r="I485" s="20" t="inlineStr">
        <is>
          <t>إياد نصار</t>
        </is>
      </c>
      <c r="J485" s="20" t="inlineStr"/>
      <c r="K485" s="20" t="inlineStr"/>
      <c r="L485">
        <f>IF(B485="","",IF(LEFT(TRIM(B485),2)="ال",MID(TRIM(B485),3,1),LEFT(TRIM(B485),1)))</f>
        <v/>
      </c>
      <c r="M485">
        <f>IF(B485="","",LEN(TRIM(B485))-LEN(SUBSTITUTE(TRIM(B485)," ",""))+1)</f>
        <v/>
      </c>
      <c r="N485" t="inlineStr">
        <is>
          <t>Draft</t>
        </is>
      </c>
    </row>
    <row r="486">
      <c r="A486" t="n">
        <v>485</v>
      </c>
      <c r="B486" s="20" t="inlineStr">
        <is>
          <t>ريتسا</t>
        </is>
      </c>
      <c r="C486" s="20" t="inlineStr">
        <is>
          <t>Ritsa</t>
        </is>
      </c>
      <c r="D486" s="20" t="inlineStr">
        <is>
          <t>Film</t>
        </is>
      </c>
      <c r="E486" s="20" t="n">
        <v>2021</v>
      </c>
      <c r="F486">
        <f>IF(E486="","",IF(E486&lt;1970,"Abyad w eswed",IF(E486&lt;2000,"70s-90s",IF(E486&lt;2015,"2000s","Gedeed"))))</f>
        <v/>
      </c>
      <c r="G486" s="20" t="inlineStr">
        <is>
          <t>Sa3b</t>
        </is>
      </c>
      <c r="H486" s="20" t="inlineStr">
        <is>
          <t>Thriller</t>
        </is>
      </c>
      <c r="I486" s="20" t="inlineStr">
        <is>
          <t>أحمد الفيشاوي</t>
        </is>
      </c>
      <c r="J486" s="20" t="inlineStr"/>
      <c r="K486" s="20" t="inlineStr"/>
      <c r="L486">
        <f>IF(B486="","",IF(LEFT(TRIM(B486),2)="ال",MID(TRIM(B486),3,1),LEFT(TRIM(B486),1)))</f>
        <v/>
      </c>
      <c r="M486">
        <f>IF(B486="","",LEN(TRIM(B486))-LEN(SUBSTITUTE(TRIM(B486)," ",""))+1)</f>
        <v/>
      </c>
      <c r="N486" t="inlineStr">
        <is>
          <t>Draft</t>
        </is>
      </c>
    </row>
    <row r="487">
      <c r="A487" t="n">
        <v>486</v>
      </c>
      <c r="B487" s="20" t="inlineStr">
        <is>
          <t>توأم روحي</t>
        </is>
      </c>
      <c r="C487" s="20" t="inlineStr">
        <is>
          <t>Taw2am Roo7y</t>
        </is>
      </c>
      <c r="D487" s="20" t="inlineStr">
        <is>
          <t>Film</t>
        </is>
      </c>
      <c r="E487" s="20" t="n">
        <v>2020</v>
      </c>
      <c r="F487">
        <f>IF(E487="","",IF(E487&lt;1970,"Abyad w eswed",IF(E487&lt;2000,"70s-90s",IF(E487&lt;2015,"2000s","Gedeed"))))</f>
        <v/>
      </c>
      <c r="G487" s="20" t="inlineStr">
        <is>
          <t>Wasat</t>
        </is>
      </c>
      <c r="H487" s="20" t="inlineStr">
        <is>
          <t>Romance</t>
        </is>
      </c>
      <c r="I487" s="20" t="inlineStr">
        <is>
          <t>حسن الرداد</t>
        </is>
      </c>
      <c r="J487" s="20" t="inlineStr"/>
      <c r="K487" s="20" t="inlineStr"/>
      <c r="L487">
        <f>IF(B487="","",IF(LEFT(TRIM(B487),2)="ال",MID(TRIM(B487),3,1),LEFT(TRIM(B487),1)))</f>
        <v/>
      </c>
      <c r="M487">
        <f>IF(B487="","",LEN(TRIM(B487))-LEN(SUBSTITUTE(TRIM(B487)," ",""))+1)</f>
        <v/>
      </c>
      <c r="N487" t="inlineStr">
        <is>
          <t>Draft</t>
        </is>
      </c>
    </row>
    <row r="488">
      <c r="A488" t="n">
        <v>487</v>
      </c>
      <c r="B488" s="20" t="inlineStr">
        <is>
          <t>خان تيولا</t>
        </is>
      </c>
      <c r="C488" s="20" t="inlineStr">
        <is>
          <t>Khan Teula</t>
        </is>
      </c>
      <c r="D488" s="20" t="inlineStr">
        <is>
          <t>Film</t>
        </is>
      </c>
      <c r="E488" s="20" t="n">
        <v>2021</v>
      </c>
      <c r="F488">
        <f>IF(E488="","",IF(E488&lt;1970,"Abyad w eswed",IF(E488&lt;2000,"70s-90s",IF(E488&lt;2015,"2000s","Gedeed"))))</f>
        <v/>
      </c>
      <c r="G488" s="20" t="inlineStr">
        <is>
          <t>Sa3b</t>
        </is>
      </c>
      <c r="H488" s="20" t="inlineStr">
        <is>
          <t>Drama</t>
        </is>
      </c>
      <c r="I488" s="20" t="inlineStr"/>
      <c r="J488" s="20" t="inlineStr"/>
      <c r="K488" s="20" t="inlineStr"/>
      <c r="L488">
        <f>IF(B488="","",IF(LEFT(TRIM(B488),2)="ال",MID(TRIM(B488),3,1),LEFT(TRIM(B488),1)))</f>
        <v/>
      </c>
      <c r="M488">
        <f>IF(B488="","",LEN(TRIM(B488))-LEN(SUBSTITUTE(TRIM(B488)," ",""))+1)</f>
        <v/>
      </c>
      <c r="N488" t="inlineStr">
        <is>
          <t>Draft</t>
        </is>
      </c>
    </row>
    <row r="489">
      <c r="A489" t="n">
        <v>488</v>
      </c>
      <c r="B489" s="20" t="inlineStr">
        <is>
          <t>الحفلة 2</t>
        </is>
      </c>
      <c r="C489" s="20" t="inlineStr">
        <is>
          <t>El 7afla 2</t>
        </is>
      </c>
      <c r="D489" s="20" t="inlineStr">
        <is>
          <t>Film</t>
        </is>
      </c>
      <c r="E489" s="20" t="n">
        <v>2022</v>
      </c>
      <c r="F489">
        <f>IF(E489="","",IF(E489&lt;1970,"Abyad w eswed",IF(E489&lt;2000,"70s-90s",IF(E489&lt;2015,"2000s","Gedeed"))))</f>
        <v/>
      </c>
      <c r="G489" s="20" t="inlineStr">
        <is>
          <t>Wasat</t>
        </is>
      </c>
      <c r="H489" s="20" t="inlineStr">
        <is>
          <t>Thriller</t>
        </is>
      </c>
      <c r="I489" s="20" t="inlineStr">
        <is>
          <t>أحمد عز</t>
        </is>
      </c>
      <c r="J489" s="20" t="inlineStr"/>
      <c r="K489" s="20" t="inlineStr"/>
      <c r="L489">
        <f>IF(B489="","",IF(LEFT(TRIM(B489),2)="ال",MID(TRIM(B489),3,1),LEFT(TRIM(B489),1)))</f>
        <v/>
      </c>
      <c r="M489">
        <f>IF(B489="","",LEN(TRIM(B489))-LEN(SUBSTITUTE(TRIM(B489)," ",""))+1)</f>
        <v/>
      </c>
      <c r="N489" t="inlineStr">
        <is>
          <t>Draft</t>
        </is>
      </c>
    </row>
    <row r="490">
      <c r="A490" t="n">
        <v>489</v>
      </c>
      <c r="B490" s="20" t="inlineStr">
        <is>
          <t>أصحاب ولا أعز</t>
        </is>
      </c>
      <c r="C490" s="20" t="inlineStr">
        <is>
          <t>As7ab wala A3az</t>
        </is>
      </c>
      <c r="D490" s="20" t="inlineStr">
        <is>
          <t>Film</t>
        </is>
      </c>
      <c r="E490" s="20" t="n">
        <v>2022</v>
      </c>
      <c r="F490">
        <f>IF(E490="","",IF(E490&lt;1970,"Abyad w eswed",IF(E490&lt;2000,"70s-90s",IF(E490&lt;2015,"2000s","Gedeed"))))</f>
        <v/>
      </c>
      <c r="G490" s="20" t="inlineStr">
        <is>
          <t>Wasat</t>
        </is>
      </c>
      <c r="H490" s="20" t="inlineStr">
        <is>
          <t>Drama</t>
        </is>
      </c>
      <c r="I490" s="20" t="inlineStr">
        <is>
          <t>منى زكي</t>
        </is>
      </c>
      <c r="J490" s="20" t="inlineStr"/>
      <c r="K490" s="20" t="inlineStr"/>
      <c r="L490">
        <f>IF(B490="","",IF(LEFT(TRIM(B490),2)="ال",MID(TRIM(B490),3,1),LEFT(TRIM(B490),1)))</f>
        <v/>
      </c>
      <c r="M490">
        <f>IF(B490="","",LEN(TRIM(B490))-LEN(SUBSTITUTE(TRIM(B490)," ",""))+1)</f>
        <v/>
      </c>
      <c r="N490" t="inlineStr">
        <is>
          <t>Draft</t>
        </is>
      </c>
    </row>
    <row r="491">
      <c r="A491" t="n">
        <v>490</v>
      </c>
      <c r="B491" s="20" t="inlineStr">
        <is>
          <t>قمر 14</t>
        </is>
      </c>
      <c r="C491" s="20" t="inlineStr">
        <is>
          <t>2amar 14</t>
        </is>
      </c>
      <c r="D491" s="20" t="inlineStr">
        <is>
          <t>Film</t>
        </is>
      </c>
      <c r="E491" s="20" t="n">
        <v>2021</v>
      </c>
      <c r="F491">
        <f>IF(E491="","",IF(E491&lt;1970,"Abyad w eswed",IF(E491&lt;2000,"70s-90s",IF(E491&lt;2015,"2000s","Gedeed"))))</f>
        <v/>
      </c>
      <c r="G491" s="20" t="inlineStr">
        <is>
          <t>Sa3b</t>
        </is>
      </c>
      <c r="H491" s="20" t="inlineStr">
        <is>
          <t>Romance</t>
        </is>
      </c>
      <c r="I491" s="20" t="inlineStr">
        <is>
          <t>خالد النبوي</t>
        </is>
      </c>
      <c r="J491" s="20" t="inlineStr"/>
      <c r="K491" s="20" t="inlineStr"/>
      <c r="L491">
        <f>IF(B491="","",IF(LEFT(TRIM(B491),2)="ال",MID(TRIM(B491),3,1),LEFT(TRIM(B491),1)))</f>
        <v/>
      </c>
      <c r="M491">
        <f>IF(B491="","",LEN(TRIM(B491))-LEN(SUBSTITUTE(TRIM(B491)," ",""))+1)</f>
        <v/>
      </c>
      <c r="N491" t="inlineStr">
        <is>
          <t>Draft</t>
        </is>
      </c>
    </row>
    <row r="492">
      <c r="A492" t="n">
        <v>491</v>
      </c>
      <c r="B492" s="20" t="inlineStr">
        <is>
          <t>122</t>
        </is>
      </c>
      <c r="C492" s="20" t="inlineStr">
        <is>
          <t>122</t>
        </is>
      </c>
      <c r="D492" s="20" t="inlineStr">
        <is>
          <t>Film</t>
        </is>
      </c>
      <c r="E492" s="20" t="n">
        <v>2019</v>
      </c>
      <c r="F492">
        <f>IF(E492="","",IF(E492&lt;1970,"Abyad w eswed",IF(E492&lt;2000,"70s-90s",IF(E492&lt;2015,"2000s","Gedeed"))))</f>
        <v/>
      </c>
      <c r="G492" s="20" t="inlineStr">
        <is>
          <t>Wasat</t>
        </is>
      </c>
      <c r="H492" s="20" t="inlineStr">
        <is>
          <t>Thriller</t>
        </is>
      </c>
      <c r="I492" s="20" t="inlineStr">
        <is>
          <t>أحمد داود</t>
        </is>
      </c>
      <c r="J492" s="20" t="inlineStr"/>
      <c r="K492" s="20" t="inlineStr"/>
      <c r="L492">
        <f>IF(B492="","",IF(LEFT(TRIM(B492),2)="ال",MID(TRIM(B492),3,1),LEFT(TRIM(B492),1)))</f>
        <v/>
      </c>
      <c r="M492">
        <f>IF(B492="","",LEN(TRIM(B492))-LEN(SUBSTITUTE(TRIM(B492)," ",""))+1)</f>
        <v/>
      </c>
      <c r="N492" t="inlineStr">
        <is>
          <t>Draft</t>
        </is>
      </c>
    </row>
    <row r="493">
      <c r="A493" t="n">
        <v>492</v>
      </c>
      <c r="B493" s="20" t="inlineStr">
        <is>
          <t>بني آدم</t>
        </is>
      </c>
      <c r="C493" s="20" t="inlineStr">
        <is>
          <t>Bany Adam</t>
        </is>
      </c>
      <c r="D493" s="20" t="inlineStr">
        <is>
          <t>Film</t>
        </is>
      </c>
      <c r="E493" s="20" t="n">
        <v>2018</v>
      </c>
      <c r="F493">
        <f>IF(E493="","",IF(E493&lt;1970,"Abyad w eswed",IF(E493&lt;2000,"70s-90s",IF(E493&lt;2015,"2000s","Gedeed"))))</f>
        <v/>
      </c>
      <c r="G493" s="20" t="inlineStr">
        <is>
          <t>Wasat</t>
        </is>
      </c>
      <c r="H493" s="20" t="inlineStr">
        <is>
          <t>Action</t>
        </is>
      </c>
      <c r="I493" s="20" t="inlineStr">
        <is>
          <t>يوسف الشريف</t>
        </is>
      </c>
      <c r="J493" s="20" t="inlineStr"/>
      <c r="K493" s="20" t="inlineStr"/>
      <c r="L493">
        <f>IF(B493="","",IF(LEFT(TRIM(B493),2)="ال",MID(TRIM(B493),3,1),LEFT(TRIM(B493),1)))</f>
        <v/>
      </c>
      <c r="M493">
        <f>IF(B493="","",LEN(TRIM(B493))-LEN(SUBSTITUTE(TRIM(B493)," ",""))+1)</f>
        <v/>
      </c>
      <c r="N493" t="inlineStr">
        <is>
          <t>Draft</t>
        </is>
      </c>
    </row>
    <row r="494">
      <c r="A494" t="n">
        <v>493</v>
      </c>
      <c r="B494" s="20" t="inlineStr">
        <is>
          <t>الهرم الرابع</t>
        </is>
      </c>
      <c r="C494" s="20" t="inlineStr">
        <is>
          <t>El Haram el Rabe3</t>
        </is>
      </c>
      <c r="D494" s="20" t="inlineStr">
        <is>
          <t>Film</t>
        </is>
      </c>
      <c r="E494" s="20" t="n">
        <v>2016</v>
      </c>
      <c r="F494">
        <f>IF(E494="","",IF(E494&lt;1970,"Abyad w eswed",IF(E494&lt;2000,"70s-90s",IF(E494&lt;2015,"2000s","Gedeed"))))</f>
        <v/>
      </c>
      <c r="G494" s="20" t="inlineStr">
        <is>
          <t>Sa3b</t>
        </is>
      </c>
      <c r="H494" s="20" t="inlineStr">
        <is>
          <t>Thriller</t>
        </is>
      </c>
      <c r="I494" s="20" t="inlineStr">
        <is>
          <t>أحمد حاتم</t>
        </is>
      </c>
      <c r="J494" s="20" t="inlineStr"/>
      <c r="K494" s="20" t="inlineStr"/>
      <c r="L494">
        <f>IF(B494="","",IF(LEFT(TRIM(B494),2)="ال",MID(TRIM(B494),3,1),LEFT(TRIM(B494),1)))</f>
        <v/>
      </c>
      <c r="M494">
        <f>IF(B494="","",LEN(TRIM(B494))-LEN(SUBSTITUTE(TRIM(B494)," ",""))+1)</f>
        <v/>
      </c>
      <c r="N494" t="inlineStr">
        <is>
          <t>Draft</t>
        </is>
      </c>
    </row>
    <row r="495">
      <c r="A495" t="n">
        <v>494</v>
      </c>
      <c r="B495" s="20" t="inlineStr">
        <is>
          <t>مولانا</t>
        </is>
      </c>
      <c r="C495" s="20" t="inlineStr">
        <is>
          <t>Mawlana</t>
        </is>
      </c>
      <c r="D495" s="20" t="inlineStr">
        <is>
          <t>Film</t>
        </is>
      </c>
      <c r="E495" s="20" t="n">
        <v>2016</v>
      </c>
      <c r="F495">
        <f>IF(E495="","",IF(E495&lt;1970,"Abyad w eswed",IF(E495&lt;2000,"70s-90s",IF(E495&lt;2015,"2000s","Gedeed"))))</f>
        <v/>
      </c>
      <c r="G495" s="20" t="inlineStr">
        <is>
          <t>Wasat</t>
        </is>
      </c>
      <c r="H495" s="20" t="inlineStr">
        <is>
          <t>Drama</t>
        </is>
      </c>
      <c r="I495" s="20" t="inlineStr">
        <is>
          <t>عمرو سعد</t>
        </is>
      </c>
      <c r="J495" s="20" t="inlineStr"/>
      <c r="K495" s="20" t="inlineStr"/>
      <c r="L495">
        <f>IF(B495="","",IF(LEFT(TRIM(B495),2)="ال",MID(TRIM(B495),3,1),LEFT(TRIM(B495),1)))</f>
        <v/>
      </c>
      <c r="M495">
        <f>IF(B495="","",LEN(TRIM(B495))-LEN(SUBSTITUTE(TRIM(B495)," ",""))+1)</f>
        <v/>
      </c>
      <c r="N495" t="inlineStr">
        <is>
          <t>Draft</t>
        </is>
      </c>
    </row>
    <row r="496">
      <c r="A496" t="n">
        <v>495</v>
      </c>
      <c r="B496" s="20" t="inlineStr">
        <is>
          <t>طلق صناعي</t>
        </is>
      </c>
      <c r="C496" s="20" t="inlineStr">
        <is>
          <t>Tal2 Sena3y</t>
        </is>
      </c>
      <c r="D496" s="20" t="inlineStr">
        <is>
          <t>Film</t>
        </is>
      </c>
      <c r="E496" s="20" t="n">
        <v>2018</v>
      </c>
      <c r="F496">
        <f>IF(E496="","",IF(E496&lt;1970,"Abyad w eswed",IF(E496&lt;2000,"70s-90s",IF(E496&lt;2015,"2000s","Gedeed"))))</f>
        <v/>
      </c>
      <c r="G496" s="20" t="inlineStr">
        <is>
          <t>Wasat</t>
        </is>
      </c>
      <c r="H496" s="20" t="inlineStr">
        <is>
          <t>Comedy</t>
        </is>
      </c>
      <c r="I496" s="20" t="inlineStr">
        <is>
          <t>ماجد الكدواني</t>
        </is>
      </c>
      <c r="J496" s="20" t="inlineStr"/>
      <c r="K496" s="20" t="inlineStr"/>
      <c r="L496">
        <f>IF(B496="","",IF(LEFT(TRIM(B496),2)="ال",MID(TRIM(B496),3,1),LEFT(TRIM(B496),1)))</f>
        <v/>
      </c>
      <c r="M496">
        <f>IF(B496="","",LEN(TRIM(B496))-LEN(SUBSTITUTE(TRIM(B496)," ",""))+1)</f>
        <v/>
      </c>
      <c r="N496" t="inlineStr">
        <is>
          <t>Draft</t>
        </is>
      </c>
    </row>
    <row r="497">
      <c r="A497" t="n">
        <v>496</v>
      </c>
      <c r="B497" s="20" t="inlineStr">
        <is>
          <t>بيكيا</t>
        </is>
      </c>
      <c r="C497" s="20" t="inlineStr">
        <is>
          <t>Bikya</t>
        </is>
      </c>
      <c r="D497" s="20" t="inlineStr">
        <is>
          <t>Film</t>
        </is>
      </c>
      <c r="E497" s="20" t="n">
        <v>2019</v>
      </c>
      <c r="F497">
        <f>IF(E497="","",IF(E497&lt;1970,"Abyad w eswed",IF(E497&lt;2000,"70s-90s",IF(E497&lt;2015,"2000s","Gedeed"))))</f>
        <v/>
      </c>
      <c r="G497" s="20" t="inlineStr">
        <is>
          <t>Sa3b</t>
        </is>
      </c>
      <c r="H497" s="20" t="inlineStr">
        <is>
          <t>Comedy</t>
        </is>
      </c>
      <c r="I497" s="20" t="inlineStr">
        <is>
          <t>محمد رجب</t>
        </is>
      </c>
      <c r="J497" s="20" t="inlineStr"/>
      <c r="K497" s="20" t="inlineStr"/>
      <c r="L497">
        <f>IF(B497="","",IF(LEFT(TRIM(B497),2)="ال",MID(TRIM(B497),3,1),LEFT(TRIM(B497),1)))</f>
        <v/>
      </c>
      <c r="M497">
        <f>IF(B497="","",LEN(TRIM(B497))-LEN(SUBSTITUTE(TRIM(B497)," ",""))+1)</f>
        <v/>
      </c>
      <c r="N497" t="inlineStr">
        <is>
          <t>Draft</t>
        </is>
      </c>
    </row>
    <row r="498">
      <c r="A498" t="n">
        <v>497</v>
      </c>
      <c r="B498" s="20" t="inlineStr">
        <is>
          <t>حرب كرموز</t>
        </is>
      </c>
      <c r="C498" s="20" t="inlineStr">
        <is>
          <t>7arb Karmooz</t>
        </is>
      </c>
      <c r="D498" s="20" t="inlineStr">
        <is>
          <t>Film</t>
        </is>
      </c>
      <c r="E498" s="20" t="n">
        <v>2018</v>
      </c>
      <c r="F498">
        <f>IF(E498="","",IF(E498&lt;1970,"Abyad w eswed",IF(E498&lt;2000,"70s-90s",IF(E498&lt;2015,"2000s","Gedeed"))))</f>
        <v/>
      </c>
      <c r="G498" s="20" t="inlineStr">
        <is>
          <t>Wasat</t>
        </is>
      </c>
      <c r="H498" s="20" t="inlineStr">
        <is>
          <t>Action</t>
        </is>
      </c>
      <c r="I498" s="20" t="inlineStr">
        <is>
          <t>أمير كرارة</t>
        </is>
      </c>
      <c r="J498" s="20" t="inlineStr"/>
      <c r="K498" s="20" t="inlineStr"/>
      <c r="L498">
        <f>IF(B498="","",IF(LEFT(TRIM(B498),2)="ال",MID(TRIM(B498),3,1),LEFT(TRIM(B498),1)))</f>
        <v/>
      </c>
      <c r="M498">
        <f>IF(B498="","",LEN(TRIM(B498))-LEN(SUBSTITUTE(TRIM(B498)," ",""))+1)</f>
        <v/>
      </c>
      <c r="N498" t="inlineStr">
        <is>
          <t>Draft</t>
        </is>
      </c>
    </row>
    <row r="499">
      <c r="A499" t="n">
        <v>498</v>
      </c>
      <c r="B499" s="20" t="inlineStr">
        <is>
          <t>ليل خارجي</t>
        </is>
      </c>
      <c r="C499" s="20" t="inlineStr">
        <is>
          <t>Leil Khareegy</t>
        </is>
      </c>
      <c r="D499" s="20" t="inlineStr">
        <is>
          <t>Film</t>
        </is>
      </c>
      <c r="E499" s="20" t="n">
        <v>2018</v>
      </c>
      <c r="F499">
        <f>IF(E499="","",IF(E499&lt;1970,"Abyad w eswed",IF(E499&lt;2000,"70s-90s",IF(E499&lt;2015,"2000s","Gedeed"))))</f>
        <v/>
      </c>
      <c r="G499" s="20" t="inlineStr">
        <is>
          <t>Sa3b</t>
        </is>
      </c>
      <c r="H499" s="20" t="inlineStr">
        <is>
          <t>Drama</t>
        </is>
      </c>
      <c r="I499" s="20" t="inlineStr">
        <is>
          <t>كريم قاسم</t>
        </is>
      </c>
      <c r="J499" s="20" t="inlineStr"/>
      <c r="K499" s="20" t="inlineStr"/>
      <c r="L499">
        <f>IF(B499="","",IF(LEFT(TRIM(B499),2)="ال",MID(TRIM(B499),3,1),LEFT(TRIM(B499),1)))</f>
        <v/>
      </c>
      <c r="M499">
        <f>IF(B499="","",LEN(TRIM(B499))-LEN(SUBSTITUTE(TRIM(B499)," ",""))+1)</f>
        <v/>
      </c>
      <c r="N499" t="inlineStr">
        <is>
          <t>Draft</t>
        </is>
      </c>
    </row>
    <row r="500">
      <c r="A500" t="n">
        <v>499</v>
      </c>
      <c r="B500" s="20" t="inlineStr">
        <is>
          <t>قرمط بيتمرمط</t>
        </is>
      </c>
      <c r="C500" s="20" t="inlineStr">
        <is>
          <t>2armat Beyetmarmat</t>
        </is>
      </c>
      <c r="D500" s="20" t="inlineStr">
        <is>
          <t>Film</t>
        </is>
      </c>
      <c r="E500" s="20" t="n">
        <v>2019</v>
      </c>
      <c r="F500">
        <f>IF(E500="","",IF(E500&lt;1970,"Abyad w eswed",IF(E500&lt;2000,"70s-90s",IF(E500&lt;2015,"2000s","Gedeed"))))</f>
        <v/>
      </c>
      <c r="G500" s="20" t="inlineStr">
        <is>
          <t>Sa3b</t>
        </is>
      </c>
      <c r="H500" s="20" t="inlineStr">
        <is>
          <t>Comedy</t>
        </is>
      </c>
      <c r="I500" s="20" t="inlineStr">
        <is>
          <t>أحمد آدم</t>
        </is>
      </c>
      <c r="J500" s="20" t="inlineStr"/>
      <c r="K500" s="20" t="inlineStr"/>
      <c r="L500">
        <f>IF(B500="","",IF(LEFT(TRIM(B500),2)="ال",MID(TRIM(B500),3,1),LEFT(TRIM(B500),1)))</f>
        <v/>
      </c>
      <c r="M500">
        <f>IF(B500="","",LEN(TRIM(B500))-LEN(SUBSTITUTE(TRIM(B500)," ",""))+1)</f>
        <v/>
      </c>
      <c r="N500" t="inlineStr">
        <is>
          <t>Draft</t>
        </is>
      </c>
    </row>
    <row r="501">
      <c r="A501" t="n">
        <v>500</v>
      </c>
      <c r="B501" s="20" t="inlineStr">
        <is>
          <t>هيستيريا</t>
        </is>
      </c>
      <c r="C501" s="20" t="inlineStr">
        <is>
          <t>Hysteria</t>
        </is>
      </c>
      <c r="D501" s="20" t="inlineStr">
        <is>
          <t>Film</t>
        </is>
      </c>
      <c r="E501" s="20" t="n">
        <v>1998</v>
      </c>
      <c r="F501">
        <f>IF(E501="","",IF(E501&lt;1970,"Abyad w eswed",IF(E501&lt;2000,"70s-90s",IF(E501&lt;2015,"2000s","Gedeed"))))</f>
        <v/>
      </c>
      <c r="G501" s="20" t="inlineStr">
        <is>
          <t>Sa3b</t>
        </is>
      </c>
      <c r="H501" s="20" t="inlineStr">
        <is>
          <t>Drama</t>
        </is>
      </c>
      <c r="I501" s="20" t="inlineStr">
        <is>
          <t>أحمد زكي</t>
        </is>
      </c>
      <c r="J501" s="20" t="inlineStr"/>
      <c r="K501" s="20" t="inlineStr"/>
      <c r="L501">
        <f>IF(B501="","",IF(LEFT(TRIM(B501),2)="ال",MID(TRIM(B501),3,1),LEFT(TRIM(B501),1)))</f>
        <v/>
      </c>
      <c r="M501">
        <f>IF(B501="","",LEN(TRIM(B501))-LEN(SUBSTITUTE(TRIM(B501)," ",""))+1)</f>
        <v/>
      </c>
      <c r="N501" t="inlineStr">
        <is>
          <t>Draft</t>
        </is>
      </c>
    </row>
    <row r="502">
      <c r="A502" t="n">
        <v>501</v>
      </c>
      <c r="B502" s="20" t="inlineStr">
        <is>
          <t>القشاش</t>
        </is>
      </c>
      <c r="C502" s="20" t="inlineStr">
        <is>
          <t>El 2ashash</t>
        </is>
      </c>
      <c r="D502" s="20" t="inlineStr">
        <is>
          <t>Film</t>
        </is>
      </c>
      <c r="E502" s="20" t="n">
        <v>2013</v>
      </c>
      <c r="F502">
        <f>IF(E502="","",IF(E502&lt;1970,"Abyad w eswed",IF(E502&lt;2000,"70s-90s",IF(E502&lt;2015,"2000s","Gedeed"))))</f>
        <v/>
      </c>
      <c r="G502" s="20" t="inlineStr">
        <is>
          <t>Wasat</t>
        </is>
      </c>
      <c r="H502" s="20" t="inlineStr">
        <is>
          <t>Action</t>
        </is>
      </c>
      <c r="I502" s="20" t="inlineStr">
        <is>
          <t>محمد فراج</t>
        </is>
      </c>
      <c r="J502" s="20" t="inlineStr"/>
      <c r="K502" s="20" t="inlineStr"/>
      <c r="L502">
        <f>IF(B502="","",IF(LEFT(TRIM(B502),2)="ال",MID(TRIM(B502),3,1),LEFT(TRIM(B502),1)))</f>
        <v/>
      </c>
      <c r="M502">
        <f>IF(B502="","",LEN(TRIM(B502))-LEN(SUBSTITUTE(TRIM(B502)," ",""))+1)</f>
        <v/>
      </c>
      <c r="N502" t="inlineStr">
        <is>
          <t>Draft</t>
        </is>
      </c>
    </row>
    <row r="503">
      <c r="A503" t="n">
        <v>502</v>
      </c>
      <c r="B503" s="20" t="inlineStr">
        <is>
          <t>حلاوة روح</t>
        </is>
      </c>
      <c r="C503" s="20" t="inlineStr">
        <is>
          <t>7alawet Roo7</t>
        </is>
      </c>
      <c r="D503" s="20" t="inlineStr">
        <is>
          <t>Film</t>
        </is>
      </c>
      <c r="E503" s="20" t="n">
        <v>2014</v>
      </c>
      <c r="F503">
        <f>IF(E503="","",IF(E503&lt;1970,"Abyad w eswed",IF(E503&lt;2000,"70s-90s",IF(E503&lt;2015,"2000s","Gedeed"))))</f>
        <v/>
      </c>
      <c r="G503" s="20" t="inlineStr">
        <is>
          <t>Sa3b</t>
        </is>
      </c>
      <c r="H503" s="20" t="inlineStr">
        <is>
          <t>Drama</t>
        </is>
      </c>
      <c r="I503" s="20" t="inlineStr">
        <is>
          <t>هيفاء وهبي</t>
        </is>
      </c>
      <c r="J503" s="20" t="inlineStr"/>
      <c r="K503" s="20" t="inlineStr"/>
      <c r="L503">
        <f>IF(B503="","",IF(LEFT(TRIM(B503),2)="ال",MID(TRIM(B503),3,1),LEFT(TRIM(B503),1)))</f>
        <v/>
      </c>
      <c r="M503">
        <f>IF(B503="","",LEN(TRIM(B503))-LEN(SUBSTITUTE(TRIM(B503)," ",""))+1)</f>
        <v/>
      </c>
      <c r="N503" t="inlineStr">
        <is>
          <t>Draft</t>
        </is>
      </c>
    </row>
    <row r="504">
      <c r="A504" t="n">
        <v>503</v>
      </c>
      <c r="B504" s="20" t="inlineStr">
        <is>
          <t>عش البلبل</t>
        </is>
      </c>
      <c r="C504" s="20" t="inlineStr">
        <is>
          <t>3esh el Bolbol</t>
        </is>
      </c>
      <c r="D504" s="20" t="inlineStr">
        <is>
          <t>Film</t>
        </is>
      </c>
      <c r="E504" s="20" t="n">
        <v>2013</v>
      </c>
      <c r="F504">
        <f>IF(E504="","",IF(E504&lt;1970,"Abyad w eswed",IF(E504&lt;2000,"70s-90s",IF(E504&lt;2015,"2000s","Gedeed"))))</f>
        <v/>
      </c>
      <c r="G504" s="20" t="inlineStr">
        <is>
          <t>Sa3b</t>
        </is>
      </c>
      <c r="H504" s="20" t="inlineStr">
        <is>
          <t>Comedy</t>
        </is>
      </c>
      <c r="I504" s="20" t="inlineStr">
        <is>
          <t>سعد الصغير</t>
        </is>
      </c>
      <c r="J504" s="20" t="inlineStr"/>
      <c r="K504" s="20" t="inlineStr"/>
      <c r="L504">
        <f>IF(B504="","",IF(LEFT(TRIM(B504),2)="ال",MID(TRIM(B504),3,1),LEFT(TRIM(B504),1)))</f>
        <v/>
      </c>
      <c r="M504">
        <f>IF(B504="","",LEN(TRIM(B504))-LEN(SUBSTITUTE(TRIM(B504)," ",""))+1)</f>
        <v/>
      </c>
      <c r="N504" t="inlineStr">
        <is>
          <t>Draft</t>
        </is>
      </c>
    </row>
    <row r="505">
      <c r="A505" t="n">
        <v>504</v>
      </c>
      <c r="B505" s="20" t="inlineStr">
        <is>
          <t>وش سجون</t>
        </is>
      </c>
      <c r="C505" s="20" t="inlineStr">
        <is>
          <t>Wesh Segoon</t>
        </is>
      </c>
      <c r="D505" s="20" t="inlineStr">
        <is>
          <t>Film</t>
        </is>
      </c>
      <c r="E505" s="20" t="n">
        <v>2014</v>
      </c>
      <c r="F505">
        <f>IF(E505="","",IF(E505&lt;1970,"Abyad w eswed",IF(E505&lt;2000,"70s-90s",IF(E505&lt;2015,"2000s","Gedeed"))))</f>
        <v/>
      </c>
      <c r="G505" s="20" t="inlineStr">
        <is>
          <t>Sa3b</t>
        </is>
      </c>
      <c r="H505" s="20" t="inlineStr">
        <is>
          <t>Action</t>
        </is>
      </c>
      <c r="I505" s="20" t="inlineStr"/>
      <c r="J505" s="20" t="inlineStr"/>
      <c r="K505" s="20" t="inlineStr"/>
      <c r="L505">
        <f>IF(B505="","",IF(LEFT(TRIM(B505),2)="ال",MID(TRIM(B505),3,1),LEFT(TRIM(B505),1)))</f>
        <v/>
      </c>
      <c r="M505">
        <f>IF(B505="","",LEN(TRIM(B505))-LEN(SUBSTITUTE(TRIM(B505)," ",""))+1)</f>
        <v/>
      </c>
      <c r="N505" t="inlineStr">
        <is>
          <t>Draft</t>
        </is>
      </c>
    </row>
    <row r="506">
      <c r="A506" t="n">
        <v>505</v>
      </c>
      <c r="B506" s="20" t="inlineStr">
        <is>
          <t>القط</t>
        </is>
      </c>
      <c r="C506" s="20" t="inlineStr">
        <is>
          <t>El 2ott</t>
        </is>
      </c>
      <c r="D506" s="20" t="inlineStr">
        <is>
          <t>Film</t>
        </is>
      </c>
      <c r="E506" s="20" t="n">
        <v>2014</v>
      </c>
      <c r="F506">
        <f>IF(E506="","",IF(E506&lt;1970,"Abyad w eswed",IF(E506&lt;2000,"70s-90s",IF(E506&lt;2015,"2000s","Gedeed"))))</f>
        <v/>
      </c>
      <c r="G506" s="20" t="inlineStr">
        <is>
          <t>Sa3b</t>
        </is>
      </c>
      <c r="H506" s="20" t="inlineStr">
        <is>
          <t>Drama</t>
        </is>
      </c>
      <c r="I506" s="20" t="inlineStr">
        <is>
          <t>عمرو واكد</t>
        </is>
      </c>
      <c r="J506" s="20" t="inlineStr"/>
      <c r="K506" s="20" t="inlineStr"/>
      <c r="L506">
        <f>IF(B506="","",IF(LEFT(TRIM(B506),2)="ال",MID(TRIM(B506),3,1),LEFT(TRIM(B506),1)))</f>
        <v/>
      </c>
      <c r="M506">
        <f>IF(B506="","",LEN(TRIM(B506))-LEN(SUBSTITUTE(TRIM(B506)," ",""))+1)</f>
        <v/>
      </c>
      <c r="N506" t="inlineStr">
        <is>
          <t>Draft</t>
        </is>
      </c>
    </row>
    <row r="507">
      <c r="A507" t="n">
        <v>506</v>
      </c>
      <c r="B507" s="20" t="inlineStr">
        <is>
          <t>ديكور</t>
        </is>
      </c>
      <c r="C507" s="20" t="inlineStr">
        <is>
          <t>Decor</t>
        </is>
      </c>
      <c r="D507" s="20" t="inlineStr">
        <is>
          <t>Film</t>
        </is>
      </c>
      <c r="E507" s="20" t="n">
        <v>2014</v>
      </c>
      <c r="F507">
        <f>IF(E507="","",IF(E507&lt;1970,"Abyad w eswed",IF(E507&lt;2000,"70s-90s",IF(E507&lt;2015,"2000s","Gedeed"))))</f>
        <v/>
      </c>
      <c r="G507" s="20" t="inlineStr">
        <is>
          <t>Sa3b</t>
        </is>
      </c>
      <c r="H507" s="20" t="inlineStr">
        <is>
          <t>Drama</t>
        </is>
      </c>
      <c r="I507" s="20" t="inlineStr">
        <is>
          <t>حورية فرغلي</t>
        </is>
      </c>
      <c r="J507" s="20" t="inlineStr"/>
      <c r="K507" s="20" t="inlineStr"/>
      <c r="L507">
        <f>IF(B507="","",IF(LEFT(TRIM(B507),2)="ال",MID(TRIM(B507),3,1),LEFT(TRIM(B507),1)))</f>
        <v/>
      </c>
      <c r="M507">
        <f>IF(B507="","",LEN(TRIM(B507))-LEN(SUBSTITUTE(TRIM(B507)," ",""))+1)</f>
        <v/>
      </c>
      <c r="N507" t="inlineStr">
        <is>
          <t>Draft</t>
        </is>
      </c>
    </row>
    <row r="508">
      <c r="A508" t="n">
        <v>507</v>
      </c>
      <c r="B508" s="20" t="inlineStr">
        <is>
          <t>لا مؤاخذة</t>
        </is>
      </c>
      <c r="C508" s="20" t="inlineStr">
        <is>
          <t>La Mo2akhza</t>
        </is>
      </c>
      <c r="D508" s="20" t="inlineStr">
        <is>
          <t>Film</t>
        </is>
      </c>
      <c r="E508" s="20" t="n">
        <v>2014</v>
      </c>
      <c r="F508">
        <f>IF(E508="","",IF(E508&lt;1970,"Abyad w eswed",IF(E508&lt;2000,"70s-90s",IF(E508&lt;2015,"2000s","Gedeed"))))</f>
        <v/>
      </c>
      <c r="G508" s="20" t="inlineStr">
        <is>
          <t>Wasat</t>
        </is>
      </c>
      <c r="H508" s="20" t="inlineStr">
        <is>
          <t>Comedy</t>
        </is>
      </c>
      <c r="I508" s="20" t="inlineStr">
        <is>
          <t>أحمد داش</t>
        </is>
      </c>
      <c r="J508" s="20" t="inlineStr"/>
      <c r="K508" s="20" t="inlineStr"/>
      <c r="L508">
        <f>IF(B508="","",IF(LEFT(TRIM(B508),2)="ال",MID(TRIM(B508),3,1),LEFT(TRIM(B508),1)))</f>
        <v/>
      </c>
      <c r="M508">
        <f>IF(B508="","",LEN(TRIM(B508))-LEN(SUBSTITUTE(TRIM(B508)," ",""))+1)</f>
        <v/>
      </c>
      <c r="N508" t="inlineStr">
        <is>
          <t>Draft</t>
        </is>
      </c>
    </row>
    <row r="509">
      <c r="A509" t="n">
        <v>508</v>
      </c>
      <c r="B509" s="20" t="inlineStr">
        <is>
          <t>حب البنات</t>
        </is>
      </c>
      <c r="C509" s="20" t="inlineStr">
        <is>
          <t>7ob el Banat</t>
        </is>
      </c>
      <c r="D509" s="20" t="inlineStr">
        <is>
          <t>Film</t>
        </is>
      </c>
      <c r="E509" s="20" t="n">
        <v>2004</v>
      </c>
      <c r="F509">
        <f>IF(E509="","",IF(E509&lt;1970,"Abyad w eswed",IF(E509&lt;2000,"70s-90s",IF(E509&lt;2015,"2000s","Gedeed"))))</f>
        <v/>
      </c>
      <c r="G509" s="20" t="inlineStr">
        <is>
          <t>Wasat</t>
        </is>
      </c>
      <c r="H509" s="20" t="inlineStr">
        <is>
          <t>Romance</t>
        </is>
      </c>
      <c r="I509" s="20" t="inlineStr">
        <is>
          <t>ليلى علوي</t>
        </is>
      </c>
      <c r="J509" s="20" t="inlineStr"/>
      <c r="K509" s="20" t="inlineStr"/>
      <c r="L509">
        <f>IF(B509="","",IF(LEFT(TRIM(B509),2)="ال",MID(TRIM(B509),3,1),LEFT(TRIM(B509),1)))</f>
        <v/>
      </c>
      <c r="M509">
        <f>IF(B509="","",LEN(TRIM(B509))-LEN(SUBSTITUTE(TRIM(B509)," ",""))+1)</f>
        <v/>
      </c>
      <c r="N509" t="inlineStr">
        <is>
          <t>Draft</t>
        </is>
      </c>
    </row>
    <row r="510">
      <c r="A510" t="n">
        <v>509</v>
      </c>
      <c r="B510" s="20" t="inlineStr">
        <is>
          <t>أحلى الأوقات</t>
        </is>
      </c>
      <c r="C510" s="20" t="inlineStr">
        <is>
          <t>A7la el Aw2at</t>
        </is>
      </c>
      <c r="D510" s="20" t="inlineStr">
        <is>
          <t>Film</t>
        </is>
      </c>
      <c r="E510" s="20" t="n">
        <v>2004</v>
      </c>
      <c r="F510">
        <f>IF(E510="","",IF(E510&lt;1970,"Abyad w eswed",IF(E510&lt;2000,"70s-90s",IF(E510&lt;2015,"2000s","Gedeed"))))</f>
        <v/>
      </c>
      <c r="G510" s="20" t="inlineStr">
        <is>
          <t>Wasat</t>
        </is>
      </c>
      <c r="H510" s="20" t="inlineStr">
        <is>
          <t>Drama</t>
        </is>
      </c>
      <c r="I510" s="20" t="inlineStr">
        <is>
          <t>حنان ترك</t>
        </is>
      </c>
      <c r="J510" s="20" t="inlineStr"/>
      <c r="K510" s="20" t="inlineStr"/>
      <c r="L510">
        <f>IF(B510="","",IF(LEFT(TRIM(B510),2)="ال",MID(TRIM(B510),3,1),LEFT(TRIM(B510),1)))</f>
        <v/>
      </c>
      <c r="M510">
        <f>IF(B510="","",LEN(TRIM(B510))-LEN(SUBSTITUTE(TRIM(B510)," ",""))+1)</f>
        <v/>
      </c>
      <c r="N510" t="inlineStr">
        <is>
          <t>Draft</t>
        </is>
      </c>
    </row>
    <row r="511">
      <c r="A511" t="n">
        <v>510</v>
      </c>
      <c r="B511" s="20" t="inlineStr">
        <is>
          <t>مذكرات مراهقة</t>
        </is>
      </c>
      <c r="C511" s="20" t="inlineStr">
        <is>
          <t>Mozakerat Moraheqa</t>
        </is>
      </c>
      <c r="D511" s="20" t="inlineStr">
        <is>
          <t>Film</t>
        </is>
      </c>
      <c r="E511" s="20" t="n">
        <v>2001</v>
      </c>
      <c r="F511">
        <f>IF(E511="","",IF(E511&lt;1970,"Abyad w eswed",IF(E511&lt;2000,"70s-90s",IF(E511&lt;2015,"2000s","Gedeed"))))</f>
        <v/>
      </c>
      <c r="G511" s="20" t="inlineStr">
        <is>
          <t>Sa3b</t>
        </is>
      </c>
      <c r="H511" s="20" t="inlineStr">
        <is>
          <t>Drama</t>
        </is>
      </c>
      <c r="I511" s="20" t="inlineStr">
        <is>
          <t>هند صبري</t>
        </is>
      </c>
      <c r="J511" s="20" t="inlineStr"/>
      <c r="K511" s="20" t="inlineStr"/>
      <c r="L511">
        <f>IF(B511="","",IF(LEFT(TRIM(B511),2)="ال",MID(TRIM(B511),3,1),LEFT(TRIM(B511),1)))</f>
        <v/>
      </c>
      <c r="M511">
        <f>IF(B511="","",LEN(TRIM(B511))-LEN(SUBSTITUTE(TRIM(B511)," ",""))+1)</f>
        <v/>
      </c>
      <c r="N511" t="inlineStr">
        <is>
          <t>Draft</t>
        </is>
      </c>
    </row>
    <row r="512">
      <c r="A512" t="n">
        <v>511</v>
      </c>
      <c r="B512" s="20" t="inlineStr">
        <is>
          <t>أوقات فراغ</t>
        </is>
      </c>
      <c r="C512" s="20" t="inlineStr">
        <is>
          <t>Aw2at Faragh</t>
        </is>
      </c>
      <c r="D512" s="20" t="inlineStr">
        <is>
          <t>Film</t>
        </is>
      </c>
      <c r="E512" s="20" t="n">
        <v>2006</v>
      </c>
      <c r="F512">
        <f>IF(E512="","",IF(E512&lt;1970,"Abyad w eswed",IF(E512&lt;2000,"70s-90s",IF(E512&lt;2015,"2000s","Gedeed"))))</f>
        <v/>
      </c>
      <c r="G512" s="20" t="inlineStr">
        <is>
          <t>Wasat</t>
        </is>
      </c>
      <c r="H512" s="20" t="inlineStr">
        <is>
          <t>Drama</t>
        </is>
      </c>
      <c r="I512" s="20" t="inlineStr">
        <is>
          <t>عمرو عابد</t>
        </is>
      </c>
      <c r="J512" s="20" t="inlineStr"/>
      <c r="K512" s="20" t="inlineStr"/>
      <c r="L512">
        <f>IF(B512="","",IF(LEFT(TRIM(B512),2)="ال",MID(TRIM(B512),3,1),LEFT(TRIM(B512),1)))</f>
        <v/>
      </c>
      <c r="M512">
        <f>IF(B512="","",LEN(TRIM(B512))-LEN(SUBSTITUTE(TRIM(B512)," ",""))+1)</f>
        <v/>
      </c>
      <c r="N512" t="inlineStr">
        <is>
          <t>Draft</t>
        </is>
      </c>
    </row>
    <row r="513">
      <c r="A513" t="n">
        <v>512</v>
      </c>
      <c r="B513" s="20" t="inlineStr">
        <is>
          <t>كلم ماما</t>
        </is>
      </c>
      <c r="C513" s="20" t="inlineStr">
        <is>
          <t>Kallem Mama</t>
        </is>
      </c>
      <c r="D513" s="20" t="inlineStr">
        <is>
          <t>Film</t>
        </is>
      </c>
      <c r="E513" s="20" t="n">
        <v>2003</v>
      </c>
      <c r="F513">
        <f>IF(E513="","",IF(E513&lt;1970,"Abyad w eswed",IF(E513&lt;2000,"70s-90s",IF(E513&lt;2015,"2000s","Gedeed"))))</f>
        <v/>
      </c>
      <c r="G513" s="20" t="inlineStr">
        <is>
          <t>Wasat</t>
        </is>
      </c>
      <c r="H513" s="20" t="inlineStr">
        <is>
          <t>Comedy</t>
        </is>
      </c>
      <c r="I513" s="20" t="inlineStr">
        <is>
          <t>عبلة كامل</t>
        </is>
      </c>
      <c r="J513" s="20" t="inlineStr"/>
      <c r="K513" s="20" t="inlineStr"/>
      <c r="L513">
        <f>IF(B513="","",IF(LEFT(TRIM(B513),2)="ال",MID(TRIM(B513),3,1),LEFT(TRIM(B513),1)))</f>
        <v/>
      </c>
      <c r="M513">
        <f>IF(B513="","",LEN(TRIM(B513))-LEN(SUBSTITUTE(TRIM(B513)," ",""))+1)</f>
        <v/>
      </c>
      <c r="N513" t="inlineStr">
        <is>
          <t>Draft</t>
        </is>
      </c>
    </row>
    <row r="514">
      <c r="A514" t="n">
        <v>513</v>
      </c>
      <c r="B514" s="20" t="inlineStr">
        <is>
          <t>اوعى وشك</t>
        </is>
      </c>
      <c r="C514" s="20" t="inlineStr">
        <is>
          <t>Aw3a Weshak</t>
        </is>
      </c>
      <c r="D514" s="20" t="inlineStr">
        <is>
          <t>Film</t>
        </is>
      </c>
      <c r="E514" s="20" t="n">
        <v>2003</v>
      </c>
      <c r="F514">
        <f>IF(E514="","",IF(E514&lt;1970,"Abyad w eswed",IF(E514&lt;2000,"70s-90s",IF(E514&lt;2015,"2000s","Gedeed"))))</f>
        <v/>
      </c>
      <c r="G514" s="20" t="inlineStr">
        <is>
          <t>Wasat</t>
        </is>
      </c>
      <c r="H514" s="20" t="inlineStr">
        <is>
          <t>Comedy</t>
        </is>
      </c>
      <c r="I514" s="20" t="inlineStr">
        <is>
          <t>أحمد آدم</t>
        </is>
      </c>
      <c r="J514" s="20" t="inlineStr"/>
      <c r="K514" s="20" t="inlineStr"/>
      <c r="L514">
        <f>IF(B514="","",IF(LEFT(TRIM(B514),2)="ال",MID(TRIM(B514),3,1),LEFT(TRIM(B514),1)))</f>
        <v/>
      </c>
      <c r="M514">
        <f>IF(B514="","",LEN(TRIM(B514))-LEN(SUBSTITUTE(TRIM(B514)," ",""))+1)</f>
        <v/>
      </c>
      <c r="N514" t="inlineStr">
        <is>
          <t>Draft</t>
        </is>
      </c>
    </row>
    <row r="515">
      <c r="A515" t="n">
        <v>514</v>
      </c>
      <c r="B515" s="20" t="inlineStr">
        <is>
          <t>حمادة يلعب</t>
        </is>
      </c>
      <c r="C515" s="20" t="inlineStr">
        <is>
          <t>7amada Yel3ab</t>
        </is>
      </c>
      <c r="D515" s="20" t="inlineStr">
        <is>
          <t>Film</t>
        </is>
      </c>
      <c r="E515" s="20" t="n">
        <v>2005</v>
      </c>
      <c r="F515">
        <f>IF(E515="","",IF(E515&lt;1970,"Abyad w eswed",IF(E515&lt;2000,"70s-90s",IF(E515&lt;2015,"2000s","Gedeed"))))</f>
        <v/>
      </c>
      <c r="G515" s="20" t="inlineStr">
        <is>
          <t>Wasat</t>
        </is>
      </c>
      <c r="H515" s="20" t="inlineStr">
        <is>
          <t>Comedy</t>
        </is>
      </c>
      <c r="I515" s="20" t="inlineStr">
        <is>
          <t>أحمد رزق</t>
        </is>
      </c>
      <c r="J515" s="20" t="inlineStr"/>
      <c r="K515" s="20" t="inlineStr"/>
      <c r="L515">
        <f>IF(B515="","",IF(LEFT(TRIM(B515),2)="ال",MID(TRIM(B515),3,1),LEFT(TRIM(B515),1)))</f>
        <v/>
      </c>
      <c r="M515">
        <f>IF(B515="","",LEN(TRIM(B515))-LEN(SUBSTITUTE(TRIM(B515)," ",""))+1)</f>
        <v/>
      </c>
      <c r="N515" t="inlineStr">
        <is>
          <t>Draft</t>
        </is>
      </c>
    </row>
    <row r="516">
      <c r="A516" t="n">
        <v>515</v>
      </c>
      <c r="B516" s="20" t="inlineStr">
        <is>
          <t>مواطن ومخبر وحرامي</t>
        </is>
      </c>
      <c r="C516" s="20" t="inlineStr">
        <is>
          <t>Mowaten w Mokhber w 7aramy</t>
        </is>
      </c>
      <c r="D516" s="20" t="inlineStr">
        <is>
          <t>Film</t>
        </is>
      </c>
      <c r="E516" s="20" t="n">
        <v>2001</v>
      </c>
      <c r="F516">
        <f>IF(E516="","",IF(E516&lt;1970,"Abyad w eswed",IF(E516&lt;2000,"70s-90s",IF(E516&lt;2015,"2000s","Gedeed"))))</f>
        <v/>
      </c>
      <c r="G516" s="20" t="inlineStr">
        <is>
          <t>Sa3b</t>
        </is>
      </c>
      <c r="H516" s="20" t="inlineStr">
        <is>
          <t>Drama</t>
        </is>
      </c>
      <c r="I516" s="20" t="inlineStr">
        <is>
          <t>خالد أبو النجا</t>
        </is>
      </c>
      <c r="J516" s="20" t="inlineStr"/>
      <c r="K516" s="20" t="inlineStr"/>
      <c r="L516">
        <f>IF(B516="","",IF(LEFT(TRIM(B516),2)="ال",MID(TRIM(B516),3,1),LEFT(TRIM(B516),1)))</f>
        <v/>
      </c>
      <c r="M516">
        <f>IF(B516="","",LEN(TRIM(B516))-LEN(SUBSTITUTE(TRIM(B516)," ",""))+1)</f>
        <v/>
      </c>
      <c r="N516" t="inlineStr">
        <is>
          <t>Draft</t>
        </is>
      </c>
    </row>
    <row r="517">
      <c r="A517" t="n">
        <v>516</v>
      </c>
      <c r="B517" s="20" t="inlineStr">
        <is>
          <t>عمر 2000</t>
        </is>
      </c>
      <c r="C517" s="20" t="inlineStr">
        <is>
          <t>3omar 2000</t>
        </is>
      </c>
      <c r="D517" s="20" t="inlineStr">
        <is>
          <t>Film</t>
        </is>
      </c>
      <c r="E517" s="20" t="n">
        <v>2000</v>
      </c>
      <c r="F517">
        <f>IF(E517="","",IF(E517&lt;1970,"Abyad w eswed",IF(E517&lt;2000,"70s-90s",IF(E517&lt;2015,"2000s","Gedeed"))))</f>
        <v/>
      </c>
      <c r="G517" s="20" t="inlineStr">
        <is>
          <t>Sa3b</t>
        </is>
      </c>
      <c r="H517" s="20" t="inlineStr">
        <is>
          <t>Comedy</t>
        </is>
      </c>
      <c r="I517" s="20" t="inlineStr">
        <is>
          <t>خالد أبو النجا</t>
        </is>
      </c>
      <c r="J517" s="20" t="inlineStr"/>
      <c r="K517" s="20" t="inlineStr"/>
      <c r="L517">
        <f>IF(B517="","",IF(LEFT(TRIM(B517),2)="ال",MID(TRIM(B517),3,1),LEFT(TRIM(B517),1)))</f>
        <v/>
      </c>
      <c r="M517">
        <f>IF(B517="","",LEN(TRIM(B517))-LEN(SUBSTITUTE(TRIM(B517)," ",""))+1)</f>
        <v/>
      </c>
      <c r="N517" t="inlineStr">
        <is>
          <t>Draft</t>
        </is>
      </c>
    </row>
    <row r="518">
      <c r="A518" t="n">
        <v>517</v>
      </c>
      <c r="B518" s="20" t="inlineStr">
        <is>
          <t>العيال هربت</t>
        </is>
      </c>
      <c r="C518" s="20" t="inlineStr">
        <is>
          <t>El 3eyal Herbet</t>
        </is>
      </c>
      <c r="D518" s="20" t="inlineStr">
        <is>
          <t>Film</t>
        </is>
      </c>
      <c r="E518" s="20" t="n">
        <v>2006</v>
      </c>
      <c r="F518">
        <f>IF(E518="","",IF(E518&lt;1970,"Abyad w eswed",IF(E518&lt;2000,"70s-90s",IF(E518&lt;2015,"2000s","Gedeed"))))</f>
        <v/>
      </c>
      <c r="G518" s="20" t="inlineStr">
        <is>
          <t>Wasat</t>
        </is>
      </c>
      <c r="H518" s="20" t="inlineStr">
        <is>
          <t>Comedy</t>
        </is>
      </c>
      <c r="I518" s="20" t="inlineStr">
        <is>
          <t>حمادة هلال</t>
        </is>
      </c>
      <c r="J518" s="20" t="inlineStr"/>
      <c r="K518" s="20" t="inlineStr"/>
      <c r="L518">
        <f>IF(B518="","",IF(LEFT(TRIM(B518),2)="ال",MID(TRIM(B518),3,1),LEFT(TRIM(B518),1)))</f>
        <v/>
      </c>
      <c r="M518">
        <f>IF(B518="","",LEN(TRIM(B518))-LEN(SUBSTITUTE(TRIM(B518)," ",""))+1)</f>
        <v/>
      </c>
      <c r="N518" t="inlineStr">
        <is>
          <t>Draft</t>
        </is>
      </c>
    </row>
    <row r="519">
      <c r="A519" t="n">
        <v>518</v>
      </c>
      <c r="B519" s="20" t="inlineStr">
        <is>
          <t>عيال حبيبة</t>
        </is>
      </c>
      <c r="C519" s="20" t="inlineStr">
        <is>
          <t>3eyal 7abiba</t>
        </is>
      </c>
      <c r="D519" s="20" t="inlineStr">
        <is>
          <t>Film</t>
        </is>
      </c>
      <c r="E519" s="20" t="n">
        <v>2005</v>
      </c>
      <c r="F519">
        <f>IF(E519="","",IF(E519&lt;1970,"Abyad w eswed",IF(E519&lt;2000,"70s-90s",IF(E519&lt;2015,"2000s","Gedeed"))))</f>
        <v/>
      </c>
      <c r="G519" s="20" t="inlineStr">
        <is>
          <t>Wasat</t>
        </is>
      </c>
      <c r="H519" s="20" t="inlineStr">
        <is>
          <t>Comedy</t>
        </is>
      </c>
      <c r="I519" s="20" t="inlineStr">
        <is>
          <t>حمادة هلال</t>
        </is>
      </c>
      <c r="J519" s="20" t="inlineStr"/>
      <c r="K519" s="20" t="inlineStr"/>
      <c r="L519">
        <f>IF(B519="","",IF(LEFT(TRIM(B519),2)="ال",MID(TRIM(B519),3,1),LEFT(TRIM(B519),1)))</f>
        <v/>
      </c>
      <c r="M519">
        <f>IF(B519="","",LEN(TRIM(B519))-LEN(SUBSTITUTE(TRIM(B519)," ",""))+1)</f>
        <v/>
      </c>
      <c r="N519" t="inlineStr">
        <is>
          <t>Draft</t>
        </is>
      </c>
    </row>
    <row r="520">
      <c r="A520" t="n">
        <v>519</v>
      </c>
      <c r="B520" s="20" t="inlineStr">
        <is>
          <t>حلم العمر</t>
        </is>
      </c>
      <c r="C520" s="20" t="inlineStr">
        <is>
          <t>7elm el 3omr</t>
        </is>
      </c>
      <c r="D520" s="20" t="inlineStr">
        <is>
          <t>Film</t>
        </is>
      </c>
      <c r="E520" s="20" t="n">
        <v>2008</v>
      </c>
      <c r="F520">
        <f>IF(E520="","",IF(E520&lt;1970,"Abyad w eswed",IF(E520&lt;2000,"70s-90s",IF(E520&lt;2015,"2000s","Gedeed"))))</f>
        <v/>
      </c>
      <c r="G520" s="20" t="inlineStr">
        <is>
          <t>Wasat</t>
        </is>
      </c>
      <c r="H520" s="20" t="inlineStr">
        <is>
          <t>Drama</t>
        </is>
      </c>
      <c r="I520" s="20" t="inlineStr">
        <is>
          <t>حمادة هلال</t>
        </is>
      </c>
      <c r="J520" s="20" t="inlineStr"/>
      <c r="K520" s="20" t="inlineStr"/>
      <c r="L520">
        <f>IF(B520="","",IF(LEFT(TRIM(B520),2)="ال",MID(TRIM(B520),3,1),LEFT(TRIM(B520),1)))</f>
        <v/>
      </c>
      <c r="M520">
        <f>IF(B520="","",LEN(TRIM(B520))-LEN(SUBSTITUTE(TRIM(B520)," ",""))+1)</f>
        <v/>
      </c>
      <c r="N520" t="inlineStr">
        <is>
          <t>Draft</t>
        </is>
      </c>
    </row>
    <row r="521">
      <c r="A521" t="n">
        <v>520</v>
      </c>
      <c r="B521" s="20" t="inlineStr">
        <is>
          <t>أمن دولت</t>
        </is>
      </c>
      <c r="C521" s="20" t="inlineStr">
        <is>
          <t>Amn Dolt</t>
        </is>
      </c>
      <c r="D521" s="20" t="inlineStr">
        <is>
          <t>Film</t>
        </is>
      </c>
      <c r="E521" s="20" t="n">
        <v>2011</v>
      </c>
      <c r="F521">
        <f>IF(E521="","",IF(E521&lt;1970,"Abyad w eswed",IF(E521&lt;2000,"70s-90s",IF(E521&lt;2015,"2000s","Gedeed"))))</f>
        <v/>
      </c>
      <c r="G521" s="20" t="inlineStr">
        <is>
          <t>Wasat</t>
        </is>
      </c>
      <c r="H521" s="20" t="inlineStr">
        <is>
          <t>Comedy</t>
        </is>
      </c>
      <c r="I521" s="20" t="inlineStr">
        <is>
          <t>حمادة هلال</t>
        </is>
      </c>
      <c r="J521" s="20" t="inlineStr"/>
      <c r="K521" s="20" t="inlineStr"/>
      <c r="L521">
        <f>IF(B521="","",IF(LEFT(TRIM(B521),2)="ال",MID(TRIM(B521),3,1),LEFT(TRIM(B521),1)))</f>
        <v/>
      </c>
      <c r="M521">
        <f>IF(B521="","",LEN(TRIM(B521))-LEN(SUBSTITUTE(TRIM(B521)," ",""))+1)</f>
        <v/>
      </c>
      <c r="N521" t="inlineStr">
        <is>
          <t>Draft</t>
        </is>
      </c>
    </row>
    <row r="522">
      <c r="A522" t="n">
        <v>521</v>
      </c>
      <c r="B522" s="20" t="inlineStr">
        <is>
          <t>الأولة في الغرام</t>
        </is>
      </c>
      <c r="C522" s="20" t="inlineStr">
        <is>
          <t>El Awala fel Gharam</t>
        </is>
      </c>
      <c r="D522" s="20" t="inlineStr">
        <is>
          <t>Film</t>
        </is>
      </c>
      <c r="E522" s="20" t="n">
        <v>2007</v>
      </c>
      <c r="F522">
        <f>IF(E522="","",IF(E522&lt;1970,"Abyad w eswed",IF(E522&lt;2000,"70s-90s",IF(E522&lt;2015,"2000s","Gedeed"))))</f>
        <v/>
      </c>
      <c r="G522" s="20" t="inlineStr">
        <is>
          <t>Sa3b</t>
        </is>
      </c>
      <c r="H522" s="20" t="inlineStr">
        <is>
          <t>Romance</t>
        </is>
      </c>
      <c r="I522" s="20" t="inlineStr">
        <is>
          <t>هاني سلامة</t>
        </is>
      </c>
      <c r="J522" s="20" t="inlineStr"/>
      <c r="K522" s="20" t="inlineStr"/>
      <c r="L522">
        <f>IF(B522="","",IF(LEFT(TRIM(B522),2)="ال",MID(TRIM(B522),3,1),LEFT(TRIM(B522),1)))</f>
        <v/>
      </c>
      <c r="M522">
        <f>IF(B522="","",LEN(TRIM(B522))-LEN(SUBSTITUTE(TRIM(B522)," ",""))+1)</f>
        <v/>
      </c>
      <c r="N522" t="inlineStr">
        <is>
          <t>Draft</t>
        </is>
      </c>
    </row>
    <row r="523">
      <c r="A523" t="n">
        <v>522</v>
      </c>
      <c r="B523" s="20" t="inlineStr">
        <is>
          <t>الراعي والنساء</t>
        </is>
      </c>
      <c r="C523" s="20" t="inlineStr">
        <is>
          <t>El Ra3y wel Nesa2</t>
        </is>
      </c>
      <c r="D523" s="20" t="inlineStr">
        <is>
          <t>Film</t>
        </is>
      </c>
      <c r="E523" s="20" t="n">
        <v>1991</v>
      </c>
      <c r="F523">
        <f>IF(E523="","",IF(E523&lt;1970,"Abyad w eswed",IF(E523&lt;2000,"70s-90s",IF(E523&lt;2015,"2000s","Gedeed"))))</f>
        <v/>
      </c>
      <c r="G523" s="20" t="inlineStr">
        <is>
          <t>Sa3b</t>
        </is>
      </c>
      <c r="H523" s="20" t="inlineStr">
        <is>
          <t>Drama</t>
        </is>
      </c>
      <c r="I523" s="20" t="inlineStr">
        <is>
          <t>أحمد زكي</t>
        </is>
      </c>
      <c r="J523" s="20" t="inlineStr"/>
      <c r="K523" s="20" t="inlineStr"/>
      <c r="L523">
        <f>IF(B523="","",IF(LEFT(TRIM(B523),2)="ال",MID(TRIM(B523),3,1),LEFT(TRIM(B523),1)))</f>
        <v/>
      </c>
      <c r="M523">
        <f>IF(B523="","",LEN(TRIM(B523))-LEN(SUBSTITUTE(TRIM(B523)," ",""))+1)</f>
        <v/>
      </c>
      <c r="N523" t="inlineStr">
        <is>
          <t>Draft</t>
        </is>
      </c>
    </row>
    <row r="524">
      <c r="A524" t="n">
        <v>523</v>
      </c>
      <c r="B524" s="20" t="inlineStr">
        <is>
          <t>أنت عمري</t>
        </is>
      </c>
      <c r="C524" s="20" t="inlineStr">
        <is>
          <t>Enta 3omry</t>
        </is>
      </c>
      <c r="D524" s="20" t="inlineStr">
        <is>
          <t>Film</t>
        </is>
      </c>
      <c r="E524" s="20" t="n">
        <v>2005</v>
      </c>
      <c r="F524">
        <f>IF(E524="","",IF(E524&lt;1970,"Abyad w eswed",IF(E524&lt;2000,"70s-90s",IF(E524&lt;2015,"2000s","Gedeed"))))</f>
        <v/>
      </c>
      <c r="G524" s="20" t="inlineStr">
        <is>
          <t>Wasat</t>
        </is>
      </c>
      <c r="H524" s="20" t="inlineStr">
        <is>
          <t>Romance</t>
        </is>
      </c>
      <c r="I524" s="20" t="inlineStr">
        <is>
          <t>هاني سلامة</t>
        </is>
      </c>
      <c r="J524" s="20" t="inlineStr"/>
      <c r="K524" s="20" t="inlineStr"/>
      <c r="L524">
        <f>IF(B524="","",IF(LEFT(TRIM(B524),2)="ال",MID(TRIM(B524),3,1),LEFT(TRIM(B524),1)))</f>
        <v/>
      </c>
      <c r="M524">
        <f>IF(B524="","",LEN(TRIM(B524))-LEN(SUBSTITUTE(TRIM(B524)," ",""))+1)</f>
        <v/>
      </c>
      <c r="N524" t="inlineStr">
        <is>
          <t>Draft</t>
        </is>
      </c>
    </row>
    <row r="525">
      <c r="A525" t="n">
        <v>524</v>
      </c>
      <c r="B525" s="20" t="inlineStr">
        <is>
          <t>ملك وكتابة</t>
        </is>
      </c>
      <c r="C525" s="20" t="inlineStr">
        <is>
          <t>Malek w Ketaba</t>
        </is>
      </c>
      <c r="D525" s="20" t="inlineStr">
        <is>
          <t>Film</t>
        </is>
      </c>
      <c r="E525" s="20" t="n">
        <v>2006</v>
      </c>
      <c r="F525">
        <f>IF(E525="","",IF(E525&lt;1970,"Abyad w eswed",IF(E525&lt;2000,"70s-90s",IF(E525&lt;2015,"2000s","Gedeed"))))</f>
        <v/>
      </c>
      <c r="G525" s="20" t="inlineStr">
        <is>
          <t>Sa3b</t>
        </is>
      </c>
      <c r="H525" s="20" t="inlineStr">
        <is>
          <t>Drama</t>
        </is>
      </c>
      <c r="I525" s="20" t="inlineStr">
        <is>
          <t>محمود حميدة</t>
        </is>
      </c>
      <c r="J525" s="20" t="inlineStr"/>
      <c r="K525" s="20" t="inlineStr"/>
      <c r="L525">
        <f>IF(B525="","",IF(LEFT(TRIM(B525),2)="ال",MID(TRIM(B525),3,1),LEFT(TRIM(B525),1)))</f>
        <v/>
      </c>
      <c r="M525">
        <f>IF(B525="","",LEN(TRIM(B525))-LEN(SUBSTITUTE(TRIM(B525)," ",""))+1)</f>
        <v/>
      </c>
      <c r="N525" t="inlineStr">
        <is>
          <t>Draft</t>
        </is>
      </c>
    </row>
    <row r="526">
      <c r="A526" t="n">
        <v>525</v>
      </c>
      <c r="B526" s="20" t="inlineStr">
        <is>
          <t>بلطية العايمة</t>
        </is>
      </c>
      <c r="C526" s="20" t="inlineStr">
        <is>
          <t>Balteya el 3ayma</t>
        </is>
      </c>
      <c r="D526" s="20" t="inlineStr">
        <is>
          <t>Film</t>
        </is>
      </c>
      <c r="E526" s="20" t="n">
        <v>2008</v>
      </c>
      <c r="F526">
        <f>IF(E526="","",IF(E526&lt;1970,"Abyad w eswed",IF(E526&lt;2000,"70s-90s",IF(E526&lt;2015,"2000s","Gedeed"))))</f>
        <v/>
      </c>
      <c r="G526" s="20" t="inlineStr">
        <is>
          <t>Wasat</t>
        </is>
      </c>
      <c r="H526" s="20" t="inlineStr">
        <is>
          <t>Comedy</t>
        </is>
      </c>
      <c r="I526" s="20" t="inlineStr">
        <is>
          <t>عبلة كامل</t>
        </is>
      </c>
      <c r="J526" s="20" t="inlineStr"/>
      <c r="K526" s="20" t="inlineStr"/>
      <c r="L526">
        <f>IF(B526="","",IF(LEFT(TRIM(B526),2)="ال",MID(TRIM(B526),3,1),LEFT(TRIM(B526),1)))</f>
        <v/>
      </c>
      <c r="M526">
        <f>IF(B526="","",LEN(TRIM(B526))-LEN(SUBSTITUTE(TRIM(B526)," ",""))+1)</f>
        <v/>
      </c>
      <c r="N526" t="inlineStr">
        <is>
          <t>Draft</t>
        </is>
      </c>
    </row>
    <row r="527">
      <c r="A527" t="n">
        <v>526</v>
      </c>
      <c r="B527" s="20" t="inlineStr">
        <is>
          <t>ريكلام</t>
        </is>
      </c>
      <c r="C527" s="20" t="inlineStr">
        <is>
          <t>Reklam</t>
        </is>
      </c>
      <c r="D527" s="20" t="inlineStr">
        <is>
          <t>Film</t>
        </is>
      </c>
      <c r="E527" s="20" t="n">
        <v>2012</v>
      </c>
      <c r="F527">
        <f>IF(E527="","",IF(E527&lt;1970,"Abyad w eswed",IF(E527&lt;2000,"70s-90s",IF(E527&lt;2015,"2000s","Gedeed"))))</f>
        <v/>
      </c>
      <c r="G527" s="20" t="inlineStr">
        <is>
          <t>Sa3b</t>
        </is>
      </c>
      <c r="H527" s="20" t="inlineStr">
        <is>
          <t>Drama</t>
        </is>
      </c>
      <c r="I527" s="20" t="inlineStr">
        <is>
          <t>غادة عبد الرازق</t>
        </is>
      </c>
      <c r="J527" s="20" t="inlineStr"/>
      <c r="K527" s="20" t="inlineStr"/>
      <c r="L527">
        <f>IF(B527="","",IF(LEFT(TRIM(B527),2)="ال",MID(TRIM(B527),3,1),LEFT(TRIM(B527),1)))</f>
        <v/>
      </c>
      <c r="M527">
        <f>IF(B527="","",LEN(TRIM(B527))-LEN(SUBSTITUTE(TRIM(B527)," ",""))+1)</f>
        <v/>
      </c>
      <c r="N527" t="inlineStr">
        <is>
          <t>Draft</t>
        </is>
      </c>
    </row>
    <row r="528">
      <c r="A528" t="n">
        <v>527</v>
      </c>
      <c r="B528" s="20" t="inlineStr">
        <is>
          <t>حلم عزيز</t>
        </is>
      </c>
      <c r="C528" s="20" t="inlineStr">
        <is>
          <t>7elm 3aziz</t>
        </is>
      </c>
      <c r="D528" s="20" t="inlineStr">
        <is>
          <t>Film</t>
        </is>
      </c>
      <c r="E528" s="20" t="n">
        <v>2012</v>
      </c>
      <c r="F528">
        <f>IF(E528="","",IF(E528&lt;1970,"Abyad w eswed",IF(E528&lt;2000,"70s-90s",IF(E528&lt;2015,"2000s","Gedeed"))))</f>
        <v/>
      </c>
      <c r="G528" s="20" t="inlineStr">
        <is>
          <t>Wasat</t>
        </is>
      </c>
      <c r="H528" s="20" t="inlineStr">
        <is>
          <t>Comedy</t>
        </is>
      </c>
      <c r="I528" s="20" t="inlineStr">
        <is>
          <t>أحمد عز</t>
        </is>
      </c>
      <c r="J528" s="20" t="inlineStr"/>
      <c r="K528" s="20" t="inlineStr"/>
      <c r="L528">
        <f>IF(B528="","",IF(LEFT(TRIM(B528),2)="ال",MID(TRIM(B528),3,1),LEFT(TRIM(B528),1)))</f>
        <v/>
      </c>
      <c r="M528">
        <f>IF(B528="","",LEN(TRIM(B528))-LEN(SUBSTITUTE(TRIM(B528)," ",""))+1)</f>
        <v/>
      </c>
      <c r="N528" t="inlineStr">
        <is>
          <t>Draft</t>
        </is>
      </c>
    </row>
    <row r="529">
      <c r="A529" t="n">
        <v>528</v>
      </c>
      <c r="B529" s="20" t="inlineStr">
        <is>
          <t>هاتولي راجل</t>
        </is>
      </c>
      <c r="C529" s="20" t="inlineStr">
        <is>
          <t>Hatooly Ragel</t>
        </is>
      </c>
      <c r="D529" s="20" t="inlineStr">
        <is>
          <t>Film</t>
        </is>
      </c>
      <c r="E529" s="20" t="n">
        <v>2013</v>
      </c>
      <c r="F529">
        <f>IF(E529="","",IF(E529&lt;1970,"Abyad w eswed",IF(E529&lt;2000,"70s-90s",IF(E529&lt;2015,"2000s","Gedeed"))))</f>
        <v/>
      </c>
      <c r="G529" s="20" t="inlineStr">
        <is>
          <t>Wasat</t>
        </is>
      </c>
      <c r="H529" s="20" t="inlineStr">
        <is>
          <t>Comedy</t>
        </is>
      </c>
      <c r="I529" s="20" t="inlineStr">
        <is>
          <t>أحمد الفيشاوي</t>
        </is>
      </c>
      <c r="J529" s="20" t="inlineStr"/>
      <c r="K529" s="20" t="inlineStr"/>
      <c r="L529">
        <f>IF(B529="","",IF(LEFT(TRIM(B529),2)="ال",MID(TRIM(B529),3,1),LEFT(TRIM(B529),1)))</f>
        <v/>
      </c>
      <c r="M529">
        <f>IF(B529="","",LEN(TRIM(B529))-LEN(SUBSTITUTE(TRIM(B529)," ",""))+1)</f>
        <v/>
      </c>
      <c r="N529" t="inlineStr">
        <is>
          <t>Draft</t>
        </is>
      </c>
    </row>
    <row r="530">
      <c r="A530" t="n">
        <v>529</v>
      </c>
      <c r="B530" s="20" t="inlineStr">
        <is>
          <t>فبراير الأسود</t>
        </is>
      </c>
      <c r="C530" s="20" t="inlineStr">
        <is>
          <t>Febrayer el Eswed</t>
        </is>
      </c>
      <c r="D530" s="20" t="inlineStr">
        <is>
          <t>Film</t>
        </is>
      </c>
      <c r="E530" s="20" t="n">
        <v>2013</v>
      </c>
      <c r="F530">
        <f>IF(E530="","",IF(E530&lt;1970,"Abyad w eswed",IF(E530&lt;2000,"70s-90s",IF(E530&lt;2015,"2000s","Gedeed"))))</f>
        <v/>
      </c>
      <c r="G530" s="20" t="inlineStr">
        <is>
          <t>Sa3b</t>
        </is>
      </c>
      <c r="H530" s="20" t="inlineStr">
        <is>
          <t>Comedy</t>
        </is>
      </c>
      <c r="I530" s="20" t="inlineStr">
        <is>
          <t>خالد صالح</t>
        </is>
      </c>
      <c r="J530" s="20" t="inlineStr"/>
      <c r="K530" s="20" t="inlineStr"/>
      <c r="L530">
        <f>IF(B530="","",IF(LEFT(TRIM(B530),2)="ال",MID(TRIM(B530),3,1),LEFT(TRIM(B530),1)))</f>
        <v/>
      </c>
      <c r="M530">
        <f>IF(B530="","",LEN(TRIM(B530))-LEN(SUBSTITUTE(TRIM(B530)," ",""))+1)</f>
        <v/>
      </c>
      <c r="N530" t="inlineStr">
        <is>
          <t>Draft</t>
        </is>
      </c>
    </row>
    <row r="531">
      <c r="A531" t="n">
        <v>530</v>
      </c>
      <c r="B531" s="20" t="inlineStr">
        <is>
          <t>الحرامي والعبيط</t>
        </is>
      </c>
      <c r="C531" s="20" t="inlineStr">
        <is>
          <t>El 7aramy wel 3abeet</t>
        </is>
      </c>
      <c r="D531" s="20" t="inlineStr">
        <is>
          <t>Film</t>
        </is>
      </c>
      <c r="E531" s="20" t="n">
        <v>2013</v>
      </c>
      <c r="F531">
        <f>IF(E531="","",IF(E531&lt;1970,"Abyad w eswed",IF(E531&lt;2000,"70s-90s",IF(E531&lt;2015,"2000s","Gedeed"))))</f>
        <v/>
      </c>
      <c r="G531" s="20" t="inlineStr">
        <is>
          <t>Wasat</t>
        </is>
      </c>
      <c r="H531" s="20" t="inlineStr">
        <is>
          <t>Comedy</t>
        </is>
      </c>
      <c r="I531" s="20" t="inlineStr">
        <is>
          <t>خالد الصاوي</t>
        </is>
      </c>
      <c r="J531" s="20" t="inlineStr"/>
      <c r="K531" s="20" t="inlineStr"/>
      <c r="L531">
        <f>IF(B531="","",IF(LEFT(TRIM(B531),2)="ال",MID(TRIM(B531),3,1),LEFT(TRIM(B531),1)))</f>
        <v/>
      </c>
      <c r="M531">
        <f>IF(B531="","",LEN(TRIM(B531))-LEN(SUBSTITUTE(TRIM(B531)," ",""))+1)</f>
        <v/>
      </c>
      <c r="N531" t="inlineStr">
        <is>
          <t>Draft</t>
        </is>
      </c>
    </row>
    <row r="532">
      <c r="A532" t="n">
        <v>531</v>
      </c>
      <c r="B532" s="20" t="inlineStr">
        <is>
          <t>سالم أبو أخته</t>
        </is>
      </c>
      <c r="C532" s="20" t="inlineStr">
        <is>
          <t>Salem Abu O5to</t>
        </is>
      </c>
      <c r="D532" s="20" t="inlineStr">
        <is>
          <t>Film</t>
        </is>
      </c>
      <c r="E532" s="20" t="n">
        <v>2014</v>
      </c>
      <c r="F532">
        <f>IF(E532="","",IF(E532&lt;1970,"Abyad w eswed",IF(E532&lt;2000,"70s-90s",IF(E532&lt;2015,"2000s","Gedeed"))))</f>
        <v/>
      </c>
      <c r="G532" s="20" t="inlineStr">
        <is>
          <t>Wasat</t>
        </is>
      </c>
      <c r="H532" s="20" t="inlineStr">
        <is>
          <t>Action</t>
        </is>
      </c>
      <c r="I532" s="20" t="inlineStr">
        <is>
          <t>محمد رجب</t>
        </is>
      </c>
      <c r="J532" s="20" t="inlineStr"/>
      <c r="K532" s="20" t="inlineStr"/>
      <c r="L532">
        <f>IF(B532="","",IF(LEFT(TRIM(B532),2)="ال",MID(TRIM(B532),3,1),LEFT(TRIM(B532),1)))</f>
        <v/>
      </c>
      <c r="M532">
        <f>IF(B532="","",LEN(TRIM(B532))-LEN(SUBSTITUTE(TRIM(B532)," ",""))+1)</f>
        <v/>
      </c>
      <c r="N532" t="inlineStr">
        <is>
          <t>Draft</t>
        </is>
      </c>
    </row>
    <row r="533">
      <c r="A533" t="n">
        <v>532</v>
      </c>
      <c r="B533" s="20" t="inlineStr">
        <is>
          <t>الخروج للنهار</t>
        </is>
      </c>
      <c r="C533" s="20" t="inlineStr">
        <is>
          <t>El Khoroog lel Nahar</t>
        </is>
      </c>
      <c r="D533" s="20" t="inlineStr">
        <is>
          <t>Film</t>
        </is>
      </c>
      <c r="E533" s="20" t="n">
        <v>2012</v>
      </c>
      <c r="F533">
        <f>IF(E533="","",IF(E533&lt;1970,"Abyad w eswed",IF(E533&lt;2000,"70s-90s",IF(E533&lt;2015,"2000s","Gedeed"))))</f>
        <v/>
      </c>
      <c r="G533" s="20" t="inlineStr">
        <is>
          <t>Sa3b</t>
        </is>
      </c>
      <c r="H533" s="20" t="inlineStr">
        <is>
          <t>Drama</t>
        </is>
      </c>
      <c r="I533" s="20" t="inlineStr">
        <is>
          <t>دنيا ماهر</t>
        </is>
      </c>
      <c r="J533" s="20" t="inlineStr"/>
      <c r="K533" s="20" t="inlineStr"/>
      <c r="L533">
        <f>IF(B533="","",IF(LEFT(TRIM(B533),2)="ال",MID(TRIM(B533),3,1),LEFT(TRIM(B533),1)))</f>
        <v/>
      </c>
      <c r="M533">
        <f>IF(B533="","",LEN(TRIM(B533))-LEN(SUBSTITUTE(TRIM(B533)," ",""))+1)</f>
        <v/>
      </c>
      <c r="N533" t="inlineStr">
        <is>
          <t>Draft</t>
        </is>
      </c>
    </row>
    <row r="534">
      <c r="A534" t="n">
        <v>533</v>
      </c>
      <c r="B534" s="20" t="inlineStr">
        <is>
          <t>بعد الموقعة</t>
        </is>
      </c>
      <c r="C534" s="20" t="inlineStr">
        <is>
          <t>Ba3d el Maw2e3a</t>
        </is>
      </c>
      <c r="D534" s="20" t="inlineStr">
        <is>
          <t>Film</t>
        </is>
      </c>
      <c r="E534" s="20" t="n">
        <v>2012</v>
      </c>
      <c r="F534">
        <f>IF(E534="","",IF(E534&lt;1970,"Abyad w eswed",IF(E534&lt;2000,"70s-90s",IF(E534&lt;2015,"2000s","Gedeed"))))</f>
        <v/>
      </c>
      <c r="G534" s="20" t="inlineStr">
        <is>
          <t>Sa3b</t>
        </is>
      </c>
      <c r="H534" s="20" t="inlineStr">
        <is>
          <t>Drama</t>
        </is>
      </c>
      <c r="I534" s="20" t="inlineStr">
        <is>
          <t>منة شلبي</t>
        </is>
      </c>
      <c r="J534" s="20" t="inlineStr"/>
      <c r="K534" s="20" t="inlineStr"/>
      <c r="L534">
        <f>IF(B534="","",IF(LEFT(TRIM(B534),2)="ال",MID(TRIM(B534),3,1),LEFT(TRIM(B534),1)))</f>
        <v/>
      </c>
      <c r="M534">
        <f>IF(B534="","",LEN(TRIM(B534))-LEN(SUBSTITUTE(TRIM(B534)," ",""))+1)</f>
        <v/>
      </c>
      <c r="N534" t="inlineStr">
        <is>
          <t>Draft</t>
        </is>
      </c>
    </row>
    <row r="535">
      <c r="A535" t="n">
        <v>534</v>
      </c>
      <c r="B535" s="20" t="inlineStr">
        <is>
          <t>الشتا اللي فات</t>
        </is>
      </c>
      <c r="C535" s="20" t="inlineStr">
        <is>
          <t>El Shetta Elly Fat</t>
        </is>
      </c>
      <c r="D535" s="20" t="inlineStr">
        <is>
          <t>Film</t>
        </is>
      </c>
      <c r="E535" s="20" t="n">
        <v>2013</v>
      </c>
      <c r="F535">
        <f>IF(E535="","",IF(E535&lt;1970,"Abyad w eswed",IF(E535&lt;2000,"70s-90s",IF(E535&lt;2015,"2000s","Gedeed"))))</f>
        <v/>
      </c>
      <c r="G535" s="20" t="inlineStr">
        <is>
          <t>Sa3b</t>
        </is>
      </c>
      <c r="H535" s="20" t="inlineStr">
        <is>
          <t>Drama</t>
        </is>
      </c>
      <c r="I535" s="20" t="inlineStr">
        <is>
          <t>عمرو واكد</t>
        </is>
      </c>
      <c r="J535" s="20" t="inlineStr"/>
      <c r="K535" s="20" t="inlineStr"/>
      <c r="L535">
        <f>IF(B535="","",IF(LEFT(TRIM(B535),2)="ال",MID(TRIM(B535),3,1),LEFT(TRIM(B535),1)))</f>
        <v/>
      </c>
      <c r="M535">
        <f>IF(B535="","",LEN(TRIM(B535))-LEN(SUBSTITUTE(TRIM(B535)," ",""))+1)</f>
        <v/>
      </c>
      <c r="N535" t="inlineStr">
        <is>
          <t>Draft</t>
        </is>
      </c>
    </row>
    <row r="536">
      <c r="A536" t="n">
        <v>535</v>
      </c>
      <c r="B536" s="20" t="inlineStr">
        <is>
          <t>فرش وغطا</t>
        </is>
      </c>
      <c r="C536" s="20" t="inlineStr">
        <is>
          <t>Farsh w Ghata</t>
        </is>
      </c>
      <c r="D536" s="20" t="inlineStr">
        <is>
          <t>Film</t>
        </is>
      </c>
      <c r="E536" s="20" t="n">
        <v>2013</v>
      </c>
      <c r="F536">
        <f>IF(E536="","",IF(E536&lt;1970,"Abyad w eswed",IF(E536&lt;2000,"70s-90s",IF(E536&lt;2015,"2000s","Gedeed"))))</f>
        <v/>
      </c>
      <c r="G536" s="20" t="inlineStr">
        <is>
          <t>Sa3b</t>
        </is>
      </c>
      <c r="H536" s="20" t="inlineStr">
        <is>
          <t>Drama</t>
        </is>
      </c>
      <c r="I536" s="20" t="inlineStr">
        <is>
          <t>آسر ياسين</t>
        </is>
      </c>
      <c r="J536" s="20" t="inlineStr"/>
      <c r="K536" s="20" t="inlineStr"/>
      <c r="L536">
        <f>IF(B536="","",IF(LEFT(TRIM(B536),2)="ال",MID(TRIM(B536),3,1),LEFT(TRIM(B536),1)))</f>
        <v/>
      </c>
      <c r="M536">
        <f>IF(B536="","",LEN(TRIM(B536))-LEN(SUBSTITUTE(TRIM(B536)," ",""))+1)</f>
        <v/>
      </c>
      <c r="N536" t="inlineStr">
        <is>
          <t>Draft</t>
        </is>
      </c>
    </row>
    <row r="537">
      <c r="A537" t="n">
        <v>536</v>
      </c>
      <c r="B537" s="20" t="inlineStr">
        <is>
          <t>يوم للستات</t>
        </is>
      </c>
      <c r="C537" s="20" t="inlineStr">
        <is>
          <t>Youm lel Settat</t>
        </is>
      </c>
      <c r="D537" s="20" t="inlineStr">
        <is>
          <t>Film</t>
        </is>
      </c>
      <c r="E537" s="20" t="n">
        <v>2016</v>
      </c>
      <c r="F537">
        <f>IF(E537="","",IF(E537&lt;1970,"Abyad w eswed",IF(E537&lt;2000,"70s-90s",IF(E537&lt;2015,"2000s","Gedeed"))))</f>
        <v/>
      </c>
      <c r="G537" s="20" t="inlineStr">
        <is>
          <t>Sa3b</t>
        </is>
      </c>
      <c r="H537" s="20" t="inlineStr">
        <is>
          <t>Drama</t>
        </is>
      </c>
      <c r="I537" s="20" t="inlineStr">
        <is>
          <t>إلهام شاهين</t>
        </is>
      </c>
      <c r="J537" s="20" t="inlineStr"/>
      <c r="K537" s="20" t="inlineStr"/>
      <c r="L537">
        <f>IF(B537="","",IF(LEFT(TRIM(B537),2)="ال",MID(TRIM(B537),3,1),LEFT(TRIM(B537),1)))</f>
        <v/>
      </c>
      <c r="M537">
        <f>IF(B537="","",LEN(TRIM(B537))-LEN(SUBSTITUTE(TRIM(B537)," ",""))+1)</f>
        <v/>
      </c>
      <c r="N537" t="inlineStr">
        <is>
          <t>Draft</t>
        </is>
      </c>
    </row>
    <row r="538">
      <c r="A538" t="n">
        <v>537</v>
      </c>
      <c r="B538" s="20" t="inlineStr">
        <is>
          <t>نوارة</t>
        </is>
      </c>
      <c r="C538" s="20" t="inlineStr">
        <is>
          <t>Nawara</t>
        </is>
      </c>
      <c r="D538" s="20" t="inlineStr">
        <is>
          <t>Film</t>
        </is>
      </c>
      <c r="E538" s="20" t="n">
        <v>2016</v>
      </c>
      <c r="F538">
        <f>IF(E538="","",IF(E538&lt;1970,"Abyad w eswed",IF(E538&lt;2000,"70s-90s",IF(E538&lt;2015,"2000s","Gedeed"))))</f>
        <v/>
      </c>
      <c r="G538" s="20" t="inlineStr">
        <is>
          <t>Sa3b</t>
        </is>
      </c>
      <c r="H538" s="20" t="inlineStr">
        <is>
          <t>Drama</t>
        </is>
      </c>
      <c r="I538" s="20" t="inlineStr">
        <is>
          <t>منة شلبي</t>
        </is>
      </c>
      <c r="J538" s="20" t="inlineStr">
        <is>
          <t>نوارة</t>
        </is>
      </c>
      <c r="K538" s="20" t="inlineStr"/>
      <c r="L538">
        <f>IF(B538="","",IF(LEFT(TRIM(B538),2)="ال",MID(TRIM(B538),3,1),LEFT(TRIM(B538),1)))</f>
        <v/>
      </c>
      <c r="M538">
        <f>IF(B538="","",LEN(TRIM(B538))-LEN(SUBSTITUTE(TRIM(B538)," ",""))+1)</f>
        <v/>
      </c>
      <c r="N538" t="inlineStr">
        <is>
          <t>Draft</t>
        </is>
      </c>
    </row>
    <row r="539">
      <c r="A539" t="n">
        <v>538</v>
      </c>
      <c r="B539" s="20" t="inlineStr">
        <is>
          <t>آخر أيام المدينة</t>
        </is>
      </c>
      <c r="C539" s="20" t="inlineStr">
        <is>
          <t>Akher Ayam el Madina</t>
        </is>
      </c>
      <c r="D539" s="20" t="inlineStr">
        <is>
          <t>Film</t>
        </is>
      </c>
      <c r="E539" s="20" t="n">
        <v>2016</v>
      </c>
      <c r="F539">
        <f>IF(E539="","",IF(E539&lt;1970,"Abyad w eswed",IF(E539&lt;2000,"70s-90s",IF(E539&lt;2015,"2000s","Gedeed"))))</f>
        <v/>
      </c>
      <c r="G539" s="20" t="inlineStr">
        <is>
          <t>Sa3b</t>
        </is>
      </c>
      <c r="H539" s="20" t="inlineStr">
        <is>
          <t>Drama</t>
        </is>
      </c>
      <c r="I539" s="20" t="inlineStr">
        <is>
          <t>خالد عبد الله</t>
        </is>
      </c>
      <c r="J539" s="20" t="inlineStr"/>
      <c r="K539" s="20" t="inlineStr"/>
      <c r="L539">
        <f>IF(B539="","",IF(LEFT(TRIM(B539),2)="ال",MID(TRIM(B539),3,1),LEFT(TRIM(B539),1)))</f>
        <v/>
      </c>
      <c r="M539">
        <f>IF(B539="","",LEN(TRIM(B539))-LEN(SUBSTITUTE(TRIM(B539)," ",""))+1)</f>
        <v/>
      </c>
      <c r="N539" t="inlineStr">
        <is>
          <t>Draft</t>
        </is>
      </c>
    </row>
    <row r="540">
      <c r="A540" t="n">
        <v>539</v>
      </c>
      <c r="B540" s="20" t="inlineStr">
        <is>
          <t>شيخ جاكسون</t>
        </is>
      </c>
      <c r="C540" s="20" t="inlineStr">
        <is>
          <t>Sheikh Jackson</t>
        </is>
      </c>
      <c r="D540" s="20" t="inlineStr">
        <is>
          <t>Film</t>
        </is>
      </c>
      <c r="E540" s="20" t="n">
        <v>2017</v>
      </c>
      <c r="F540">
        <f>IF(E540="","",IF(E540&lt;1970,"Abyad w eswed",IF(E540&lt;2000,"70s-90s",IF(E540&lt;2015,"2000s","Gedeed"))))</f>
        <v/>
      </c>
      <c r="G540" s="20" t="inlineStr">
        <is>
          <t>Sa3b</t>
        </is>
      </c>
      <c r="H540" s="20" t="inlineStr">
        <is>
          <t>Drama</t>
        </is>
      </c>
      <c r="I540" s="20" t="inlineStr">
        <is>
          <t>أحمد الفيشاوي</t>
        </is>
      </c>
      <c r="J540" s="20" t="inlineStr"/>
      <c r="K540" s="20" t="inlineStr"/>
      <c r="L540">
        <f>IF(B540="","",IF(LEFT(TRIM(B540),2)="ال",MID(TRIM(B540),3,1),LEFT(TRIM(B540),1)))</f>
        <v/>
      </c>
      <c r="M540">
        <f>IF(B540="","",LEN(TRIM(B540))-LEN(SUBSTITUTE(TRIM(B540)," ",""))+1)</f>
        <v/>
      </c>
      <c r="N540" t="inlineStr">
        <is>
          <t>Draft</t>
        </is>
      </c>
    </row>
    <row r="541">
      <c r="A541" t="n">
        <v>540</v>
      </c>
      <c r="B541" s="20" t="inlineStr">
        <is>
          <t>خلاويص</t>
        </is>
      </c>
      <c r="C541" s="20" t="inlineStr">
        <is>
          <t>Khalawees</t>
        </is>
      </c>
      <c r="D541" s="20" t="inlineStr">
        <is>
          <t>Film</t>
        </is>
      </c>
      <c r="E541" s="20" t="n">
        <v>2016</v>
      </c>
      <c r="F541">
        <f>IF(E541="","",IF(E541&lt;1970,"Abyad w eswed",IF(E541&lt;2000,"70s-90s",IF(E541&lt;2015,"2000s","Gedeed"))))</f>
        <v/>
      </c>
      <c r="G541" s="20" t="inlineStr">
        <is>
          <t>Wasat</t>
        </is>
      </c>
      <c r="H541" s="20" t="inlineStr">
        <is>
          <t>Comedy</t>
        </is>
      </c>
      <c r="I541" s="20" t="inlineStr">
        <is>
          <t>أحمد عيد</t>
        </is>
      </c>
      <c r="J541" s="20" t="inlineStr"/>
      <c r="K541" s="20" t="inlineStr"/>
      <c r="L541">
        <f>IF(B541="","",IF(LEFT(TRIM(B541),2)="ال",MID(TRIM(B541),3,1),LEFT(TRIM(B541),1)))</f>
        <v/>
      </c>
      <c r="M541">
        <f>IF(B541="","",LEN(TRIM(B541))-LEN(SUBSTITUTE(TRIM(B541)," ",""))+1)</f>
        <v/>
      </c>
      <c r="N541" t="inlineStr">
        <is>
          <t>Draft</t>
        </is>
      </c>
    </row>
    <row r="542">
      <c r="A542" t="n">
        <v>541</v>
      </c>
      <c r="B542" s="20" t="inlineStr">
        <is>
          <t>بث مباشر</t>
        </is>
      </c>
      <c r="C542" s="20" t="inlineStr">
        <is>
          <t>Bath Mobasher</t>
        </is>
      </c>
      <c r="D542" s="20" t="inlineStr">
        <is>
          <t>Film</t>
        </is>
      </c>
      <c r="E542" s="20" t="n">
        <v>2018</v>
      </c>
      <c r="F542">
        <f>IF(E542="","",IF(E542&lt;1970,"Abyad w eswed",IF(E542&lt;2000,"70s-90s",IF(E542&lt;2015,"2000s","Gedeed"))))</f>
        <v/>
      </c>
      <c r="G542" s="20" t="inlineStr">
        <is>
          <t>Sa3b</t>
        </is>
      </c>
      <c r="H542" s="20" t="inlineStr">
        <is>
          <t>Comedy</t>
        </is>
      </c>
      <c r="I542" s="20" t="inlineStr">
        <is>
          <t>سامح حسين</t>
        </is>
      </c>
      <c r="J542" s="20" t="inlineStr"/>
      <c r="K542" s="20" t="inlineStr"/>
      <c r="L542">
        <f>IF(B542="","",IF(LEFT(TRIM(B542),2)="ال",MID(TRIM(B542),3,1),LEFT(TRIM(B542),1)))</f>
        <v/>
      </c>
      <c r="M542">
        <f>IF(B542="","",LEN(TRIM(B542))-LEN(SUBSTITUTE(TRIM(B542)," ",""))+1)</f>
        <v/>
      </c>
      <c r="N542" t="inlineStr">
        <is>
          <t>Draft</t>
        </is>
      </c>
    </row>
    <row r="543">
      <c r="A543" t="n">
        <v>542</v>
      </c>
      <c r="B543" s="20" t="inlineStr">
        <is>
          <t>قصة حب</t>
        </is>
      </c>
      <c r="C543" s="20" t="inlineStr">
        <is>
          <t>2esset 7ob</t>
        </is>
      </c>
      <c r="D543" s="20" t="inlineStr">
        <is>
          <t>Film</t>
        </is>
      </c>
      <c r="E543" s="20" t="n">
        <v>2019</v>
      </c>
      <c r="F543">
        <f>IF(E543="","",IF(E543&lt;1970,"Abyad w eswed",IF(E543&lt;2000,"70s-90s",IF(E543&lt;2015,"2000s","Gedeed"))))</f>
        <v/>
      </c>
      <c r="G543" s="20" t="inlineStr">
        <is>
          <t>Wasat</t>
        </is>
      </c>
      <c r="H543" s="20" t="inlineStr">
        <is>
          <t>Romance</t>
        </is>
      </c>
      <c r="I543" s="20" t="inlineStr">
        <is>
          <t>أحمد حاتم</t>
        </is>
      </c>
      <c r="J543" s="20" t="inlineStr"/>
      <c r="K543" s="20" t="inlineStr"/>
      <c r="L543">
        <f>IF(B543="","",IF(LEFT(TRIM(B543),2)="ال",MID(TRIM(B543),3,1),LEFT(TRIM(B543),1)))</f>
        <v/>
      </c>
      <c r="M543">
        <f>IF(B543="","",LEN(TRIM(B543))-LEN(SUBSTITUTE(TRIM(B543)," ",""))+1)</f>
        <v/>
      </c>
      <c r="N543" t="inlineStr">
        <is>
          <t>Draft</t>
        </is>
      </c>
    </row>
    <row r="544">
      <c r="A544" t="n">
        <v>543</v>
      </c>
      <c r="B544" s="20" t="inlineStr">
        <is>
          <t>فوي فوي فوي</t>
        </is>
      </c>
      <c r="C544" s="20" t="inlineStr">
        <is>
          <t>Voy Voy Voy</t>
        </is>
      </c>
      <c r="D544" s="20" t="inlineStr">
        <is>
          <t>Film</t>
        </is>
      </c>
      <c r="E544" s="20" t="n">
        <v>2023</v>
      </c>
      <c r="F544">
        <f>IF(E544="","",IF(E544&lt;1970,"Abyad w eswed",IF(E544&lt;2000,"70s-90s",IF(E544&lt;2015,"2000s","Gedeed"))))</f>
        <v/>
      </c>
      <c r="G544" s="20" t="inlineStr">
        <is>
          <t>Wasat</t>
        </is>
      </c>
      <c r="H544" s="20" t="inlineStr">
        <is>
          <t>Comedy</t>
        </is>
      </c>
      <c r="I544" s="20" t="inlineStr">
        <is>
          <t>محمد فراج</t>
        </is>
      </c>
      <c r="J544" s="20" t="inlineStr"/>
      <c r="K544" s="20" t="inlineStr"/>
      <c r="L544">
        <f>IF(B544="","",IF(LEFT(TRIM(B544),2)="ال",MID(TRIM(B544),3,1),LEFT(TRIM(B544),1)))</f>
        <v/>
      </c>
      <c r="M544">
        <f>IF(B544="","",LEN(TRIM(B544))-LEN(SUBSTITUTE(TRIM(B544)," ",""))+1)</f>
        <v/>
      </c>
      <c r="N544" t="inlineStr">
        <is>
          <t>Draft</t>
        </is>
      </c>
    </row>
  </sheetData>
  <autoFilter ref="A1:N330"/>
  <conditionalFormatting sqref="N2:N630">
    <cfRule type="expression" rank="0" priority="2" equalAverage="0" aboveAverage="0" dxfId="5" text="" percent="0" bottom="0">
      <formula>N2="Rage3ha"</formula>
    </cfRule>
    <cfRule type="expression" rank="0" priority="3" equalAverage="0" aboveAverage="0" dxfId="6" text="" percent="0" bottom="0">
      <formula>N2="Tamam"</formula>
    </cfRule>
    <cfRule type="expression" rank="0" priority="4" equalAverage="0" aboveAverage="0" dxfId="7" text="" percent="0" bottom="0">
      <formula>N2="Shilo"</formula>
    </cfRule>
  </conditionalFormatting>
  <dataValidations count="4">
    <dataValidation sqref="D2:D630" showDropDown="0" showInputMessage="0" showErrorMessage="0" allowBlank="1" errorTitle="Qeema ghalat" error="E5tar men el list" type="list" errorStyle="stop" operator="between">
      <formula1>"Film,Mosalsal,Ramadan,Sitcom,Masra7eya"</formula1>
      <formula2>0</formula2>
    </dataValidation>
    <dataValidation sqref="G2:G630" showDropDown="0" showInputMessage="0" showErrorMessage="0" allowBlank="1" errorTitle="Qeema ghalat" error="E5tar men el list" type="list" errorStyle="stop" operator="between">
      <formula1>"Sahl,Wasat,Sa3b"</formula1>
      <formula2>0</formula2>
    </dataValidation>
    <dataValidation sqref="H2:H630" showDropDown="0" showInputMessage="0" showErrorMessage="0" allowBlank="1" errorTitle="Qeema ghalat" error="E5tar men el list" type="list" errorStyle="stop" operator="between">
      <formula1>"Comedy,Drama,Action,Romance,Thriller,Horror,Crime,Musical,Ta2reekhy"</formula1>
      <formula2>0</formula2>
    </dataValidation>
    <dataValidation sqref="N2:N630" showDropDown="0" showInputMessage="0" showErrorMessage="0" allowBlank="1" errorTitle="Qeema ghalat" error="E5tar men el list" type="list" errorStyle="stop" operator="between">
      <formula1>"Draft,Rage3ha,Tamam,Shilo"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0" min="1" max="1"/>
    <col width="15" customWidth="1" style="20" min="2" max="6"/>
  </cols>
  <sheetData>
    <row r="1" ht="19.7" customHeight="1" s="21">
      <c r="A1" s="34" t="inlineStr">
        <is>
          <t>Malakhas el 3anaween</t>
        </is>
      </c>
    </row>
    <row r="3" ht="15" customHeight="1" s="21">
      <c r="A3" s="35" t="inlineStr">
        <is>
          <t>El no3 \ El zaman</t>
        </is>
      </c>
      <c r="B3" s="35" t="inlineStr">
        <is>
          <t>Abyad w eswed</t>
        </is>
      </c>
      <c r="C3" s="35" t="inlineStr">
        <is>
          <t>70s-90s</t>
        </is>
      </c>
      <c r="D3" s="35" t="inlineStr">
        <is>
          <t>2000s</t>
        </is>
      </c>
      <c r="E3" s="35" t="inlineStr">
        <is>
          <t>Gedeed</t>
        </is>
      </c>
      <c r="F3" s="35" t="inlineStr">
        <is>
          <t>El magmou3</t>
        </is>
      </c>
    </row>
    <row r="4" ht="15" customHeight="1" s="21">
      <c r="A4" s="36" t="inlineStr">
        <is>
          <t>Film</t>
        </is>
      </c>
      <c r="B4" s="37">
        <f>COUNTIFS(3anaween!$D:$D,$A4,3anaween!$F:$F,B$3)</f>
        <v/>
      </c>
      <c r="C4" s="37">
        <f>COUNTIFS(3anaween!$D:$D,$A4,3anaween!$F:$F,C$3)</f>
        <v/>
      </c>
      <c r="D4" s="37">
        <f>COUNTIFS(3anaween!$D:$D,$A4,3anaween!$F:$F,D$3)</f>
        <v/>
      </c>
      <c r="E4" s="37">
        <f>COUNTIFS(3anaween!$D:$D,$A4,3anaween!$F:$F,E$3)</f>
        <v/>
      </c>
      <c r="F4" s="38">
        <f>SUM(B4:E4)</f>
        <v/>
      </c>
    </row>
    <row r="5" ht="15" customHeight="1" s="21">
      <c r="A5" s="36" t="inlineStr">
        <is>
          <t>Mosalsal</t>
        </is>
      </c>
      <c r="B5" s="37">
        <f>COUNTIFS(3anaween!$D:$D,$A5,3anaween!$F:$F,B$3)</f>
        <v/>
      </c>
      <c r="C5" s="37">
        <f>COUNTIFS(3anaween!$D:$D,$A5,3anaween!$F:$F,C$3)</f>
        <v/>
      </c>
      <c r="D5" s="37">
        <f>COUNTIFS(3anaween!$D:$D,$A5,3anaween!$F:$F,D$3)</f>
        <v/>
      </c>
      <c r="E5" s="37">
        <f>COUNTIFS(3anaween!$D:$D,$A5,3anaween!$F:$F,E$3)</f>
        <v/>
      </c>
      <c r="F5" s="38">
        <f>SUM(B5:E5)</f>
        <v/>
      </c>
    </row>
    <row r="6" ht="15" customHeight="1" s="21">
      <c r="A6" s="36" t="inlineStr">
        <is>
          <t>Ramadan</t>
        </is>
      </c>
      <c r="B6" s="37">
        <f>COUNTIFS(3anaween!$D:$D,$A6,3anaween!$F:$F,B$3)</f>
        <v/>
      </c>
      <c r="C6" s="37">
        <f>COUNTIFS(3anaween!$D:$D,$A6,3anaween!$F:$F,C$3)</f>
        <v/>
      </c>
      <c r="D6" s="37">
        <f>COUNTIFS(3anaween!$D:$D,$A6,3anaween!$F:$F,D$3)</f>
        <v/>
      </c>
      <c r="E6" s="37">
        <f>COUNTIFS(3anaween!$D:$D,$A6,3anaween!$F:$F,E$3)</f>
        <v/>
      </c>
      <c r="F6" s="38">
        <f>SUM(B6:E6)</f>
        <v/>
      </c>
    </row>
    <row r="7" ht="15" customHeight="1" s="21">
      <c r="A7" s="36" t="inlineStr">
        <is>
          <t>Sitcom</t>
        </is>
      </c>
      <c r="B7" s="37">
        <f>COUNTIFS(3anaween!$D:$D,$A7,3anaween!$F:$F,B$3)</f>
        <v/>
      </c>
      <c r="C7" s="37">
        <f>COUNTIFS(3anaween!$D:$D,$A7,3anaween!$F:$F,C$3)</f>
        <v/>
      </c>
      <c r="D7" s="37">
        <f>COUNTIFS(3anaween!$D:$D,$A7,3anaween!$F:$F,D$3)</f>
        <v/>
      </c>
      <c r="E7" s="37">
        <f>COUNTIFS(3anaween!$D:$D,$A7,3anaween!$F:$F,E$3)</f>
        <v/>
      </c>
      <c r="F7" s="38">
        <f>SUM(B7:E7)</f>
        <v/>
      </c>
    </row>
    <row r="8" ht="15" customHeight="1" s="21">
      <c r="A8" s="36" t="inlineStr">
        <is>
          <t>Masra7eya</t>
        </is>
      </c>
      <c r="B8" s="37">
        <f>COUNTIFS(3anaween!$D:$D,$A8,3anaween!$F:$F,B$3)</f>
        <v/>
      </c>
      <c r="C8" s="37">
        <f>COUNTIFS(3anaween!$D:$D,$A8,3anaween!$F:$F,C$3)</f>
        <v/>
      </c>
      <c r="D8" s="37">
        <f>COUNTIFS(3anaween!$D:$D,$A8,3anaween!$F:$F,D$3)</f>
        <v/>
      </c>
      <c r="E8" s="37">
        <f>COUNTIFS(3anaween!$D:$D,$A8,3anaween!$F:$F,E$3)</f>
        <v/>
      </c>
      <c r="F8" s="38">
        <f>SUM(B8:E8)</f>
        <v/>
      </c>
    </row>
    <row r="9" ht="15" customHeight="1" s="21">
      <c r="A9" s="36" t="inlineStr">
        <is>
          <t>El magmou3</t>
        </is>
      </c>
      <c r="B9" s="38">
        <f>SUM(B4:B8)</f>
        <v/>
      </c>
      <c r="C9" s="38">
        <f>SUM(C4:C8)</f>
        <v/>
      </c>
      <c r="D9" s="38">
        <f>SUM(D4:D8)</f>
        <v/>
      </c>
      <c r="E9" s="38">
        <f>SUM(E4:E8)</f>
        <v/>
      </c>
      <c r="F9" s="38">
        <f>SUM(F4:F8)</f>
        <v/>
      </c>
    </row>
    <row r="11" ht="15" customHeight="1" s="21">
      <c r="A11" s="39" t="inlineStr">
        <is>
          <t>El mostawa</t>
        </is>
      </c>
    </row>
    <row r="12" ht="15" customHeight="1" s="21">
      <c r="A12" s="40" t="inlineStr">
        <is>
          <t>Sahl</t>
        </is>
      </c>
      <c r="B12" s="40">
        <f>COUNTIF(3anaween!$G:$G,A12)</f>
        <v/>
      </c>
    </row>
    <row r="13" ht="15" customHeight="1" s="21">
      <c r="A13" s="40" t="inlineStr">
        <is>
          <t>Wasat</t>
        </is>
      </c>
      <c r="B13" s="40">
        <f>COUNTIF(3anaween!$G:$G,A13)</f>
        <v/>
      </c>
    </row>
    <row r="14" ht="15" customHeight="1" s="21">
      <c r="A14" s="40" t="inlineStr">
        <is>
          <t>Sa3b</t>
        </is>
      </c>
      <c r="B14" s="40">
        <f>COUNTIF(3anaween!$G:$G,A14)</f>
        <v/>
      </c>
    </row>
    <row r="16" ht="15" customHeight="1" s="21">
      <c r="A16" s="39" t="inlineStr">
        <is>
          <t>Status</t>
        </is>
      </c>
    </row>
    <row r="17" ht="15" customHeight="1" s="21">
      <c r="A17" s="40" t="inlineStr">
        <is>
          <t>Draft</t>
        </is>
      </c>
      <c r="B17" s="40">
        <f>COUNTIF(3anaween!$N:$N,A17)</f>
        <v/>
      </c>
    </row>
    <row r="18" ht="15" customHeight="1" s="21">
      <c r="A18" s="40" t="inlineStr">
        <is>
          <t>Rage3ha</t>
        </is>
      </c>
      <c r="B18" s="40">
        <f>COUNTIF(3anaween!$N:$N,A18)</f>
        <v/>
      </c>
    </row>
    <row r="19" ht="15" customHeight="1" s="21">
      <c r="A19" s="40" t="inlineStr">
        <is>
          <t>Tamam</t>
        </is>
      </c>
      <c r="B19" s="40">
        <f>COUNTIF(3anaween!$N:$N,A19)</f>
        <v/>
      </c>
    </row>
    <row r="20" ht="15" customHeight="1" s="21">
      <c r="A20" s="40" t="inlineStr">
        <is>
          <t>Shilo</t>
        </is>
      </c>
      <c r="B20" s="40">
        <f>COUNTIF(3anaween!$N:$N,A20)</f>
        <v/>
      </c>
    </row>
    <row r="22" ht="15" customHeight="1" s="21">
      <c r="A22" s="39" t="inlineStr">
        <is>
          <t>Mosa3dat na2sa</t>
        </is>
      </c>
    </row>
    <row r="23" ht="15" customHeight="1" s="21">
      <c r="A23" s="40" t="inlineStr">
        <is>
          <t>Men gher esm sha5seya</t>
        </is>
      </c>
      <c r="B23" s="40">
        <f>COUNTIFS(3anaween!$B$2:$B$630,"&lt;&gt;",3anaween!$J$2:$J$630,"")</f>
        <v/>
      </c>
    </row>
    <row r="24" ht="15" customHeight="1" s="21">
      <c r="A24" s="40" t="inlineStr">
        <is>
          <t>Men gher efeh mashhoora</t>
        </is>
      </c>
      <c r="B24" s="40">
        <f>COUNTIFS(3anaween!$B$2:$B$630,"&lt;&gt;",3anaween!$K$2:$K$630,"")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2026-10-24T01:41:28Z</dcterms:created>
  <dcterms:modified xmlns:dcterms="http://purl.org/dc/terms/" xmlns:xsi="http://www.w3.org/2001/XMLSchema-instance" xsi:type="dcterms:W3CDTF">2026-10-30T15:02:47Z</dcterms:modified>
  <cp:revision>0</cp:revision>
</cp:coreProperties>
</file>