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zay testa5demha" sheetId="1" state="visible" r:id="rId3"/>
    <sheet name="3anaween" sheetId="2" state="visible" r:id="rId4"/>
    <sheet name="Malakhas" sheetId="3" state="visible" r:id="rId5"/>
  </sheets>
  <definedNames>
    <definedName function="false" hidden="true" localSheetId="1" name="_xlnm._FilterDatabase" vbProcedure="false">3anaween!$A$1:$N$330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<sst xmlns="http://schemas.openxmlformats.org/spreadsheetml/2006/main" count="2529" uniqueCount="951">
  <si>
    <t xml:space="preserve">Ezay testa5dem el sheet</t>
  </si>
  <si>
    <t xml:space="preserve">El 3amayed el fat7a</t>
  </si>
  <si>
    <t xml:space="preserve">El 3onwan, Franco, El no3, El sana, El mostawa, El genre, El batal/batala, Esm sha5seya, Efeh mashhoora, Status. Dool elly te3addel fehom.</t>
  </si>
  <si>
    <t xml:space="preserve">El 3amayed el ghame2a</t>
  </si>
  <si>
    <t xml:space="preserve">#, El zaman, Awel 7arf, Kalemat: formulas. Bettetghayar lewa7daha lamma te3addel el 3onwan aw el sana — matketbsh fehom.</t>
  </si>
  <si>
    <t xml:space="preserve">El zaman</t>
  </si>
  <si>
    <t xml:space="preserve">Abyad w eswed = abl 1970 · 70s-90s = 1970–1999 · 2000s = 2000–2014 · Gedeed = 2015 w ba3d.</t>
  </si>
  <si>
    <t xml:space="preserve">Awel 7arf</t>
  </si>
  <si>
    <t xml:space="preserve">Awel 7arf men el 3onwan men gher "ال" (masalan الكيف → ك).</t>
  </si>
  <si>
    <t xml:space="preserve">Status</t>
  </si>
  <si>
    <t xml:space="preserve">Draft = ana katabto men zakerty · Rage3ha = mesh mota2aked men 7aga (sana, batal, no3) · Tamam = enta ra2a3to · Shilo = mesh 3ayzo fel le3ba.</t>
  </si>
  <si>
    <t xml:space="preserve">Mosa3dat fadya</t>
  </si>
  <si>
    <t xml:space="preserve">Esm sha5seya w efeh mashhoora fadyeen fe ktir — el app hatkhabby el mosa3da di lel 3onwan da bas. Zawwed elly te3rafo.</t>
  </si>
  <si>
    <t xml:space="preserve">Zawwed 3onwan</t>
  </si>
  <si>
    <t xml:space="preserve">Ekteb fe awel saf fadi ta7t akher 3onwan: el formulas fe El zaman / Awel 7arf / Kalemat ensa5ha men el saf elly fo2.</t>
  </si>
  <si>
    <t xml:space="preserve">Masdar</t>
  </si>
  <si>
    <t xml:space="preserve">Kol el bayanat draft men zakerty, mesh men masdar rasmy. Lazem ter2a3 el sana w el abtal abl ma ndakhal el list fel app.</t>
  </si>
  <si>
    <t xml:space="preserve">#</t>
  </si>
  <si>
    <t xml:space="preserve">El 3onwan</t>
  </si>
  <si>
    <t xml:space="preserve">Franco (lel ba7th)</t>
  </si>
  <si>
    <t xml:space="preserve">El no3</t>
  </si>
  <si>
    <t xml:space="preserve">El sana</t>
  </si>
  <si>
    <t xml:space="preserve">El mostawa</t>
  </si>
  <si>
    <t xml:space="preserve">El genre</t>
  </si>
  <si>
    <t xml:space="preserve">El batal / batala</t>
  </si>
  <si>
    <t xml:space="preserve">Esm sha5seya</t>
  </si>
  <si>
    <t xml:space="preserve">Efeh mashhoora</t>
  </si>
  <si>
    <t xml:space="preserve">Kalemat</t>
  </si>
  <si>
    <t xml:space="preserve">سلامة في خير</t>
  </si>
  <si>
    <t xml:space="preserve">Salama fi Kheir</t>
  </si>
  <si>
    <t xml:space="preserve">Film</t>
  </si>
  <si>
    <t xml:space="preserve">Sa3b</t>
  </si>
  <si>
    <t xml:space="preserve">Comedy</t>
  </si>
  <si>
    <t xml:space="preserve">نجيب الريحاني</t>
  </si>
  <si>
    <t xml:space="preserve">سلامة</t>
  </si>
  <si>
    <t xml:space="preserve">Draft</t>
  </si>
  <si>
    <t xml:space="preserve">لعبة الست</t>
  </si>
  <si>
    <t xml:space="preserve">Le3bet El Set</t>
  </si>
  <si>
    <t xml:space="preserve">عفريتة هانم</t>
  </si>
  <si>
    <t xml:space="preserve">3afreeta Hanem</t>
  </si>
  <si>
    <t xml:space="preserve">Musical</t>
  </si>
  <si>
    <t xml:space="preserve">فريد الأطرش</t>
  </si>
  <si>
    <t xml:space="preserve">Rage3ha</t>
  </si>
  <si>
    <t xml:space="preserve">غزل البنات</t>
  </si>
  <si>
    <t xml:space="preserve">Ghazal El Banat</t>
  </si>
  <si>
    <t xml:space="preserve">Wasat</t>
  </si>
  <si>
    <t xml:space="preserve">الأستاذ حمام</t>
  </si>
  <si>
    <t xml:space="preserve">الآنسة حنفي</t>
  </si>
  <si>
    <t xml:space="preserve">El Anesa 7anafi</t>
  </si>
  <si>
    <t xml:space="preserve">إسماعيل يس</t>
  </si>
  <si>
    <t xml:space="preserve">حنفي</t>
  </si>
  <si>
    <t xml:space="preserve">صراع في الوادي</t>
  </si>
  <si>
    <t xml:space="preserve">Sera3 fel Wadi</t>
  </si>
  <si>
    <t xml:space="preserve">Drama</t>
  </si>
  <si>
    <t xml:space="preserve">فاتن حمامة</t>
  </si>
  <si>
    <t xml:space="preserve">إسماعيل يس في الجيش</t>
  </si>
  <si>
    <t xml:space="preserve">Ismail Yassin fel Geish</t>
  </si>
  <si>
    <t xml:space="preserve">Sahl</t>
  </si>
  <si>
    <t xml:space="preserve">ابن حميدو</t>
  </si>
  <si>
    <t xml:space="preserve">Ibn 7amido</t>
  </si>
  <si>
    <t xml:space="preserve">المعلم حنفي</t>
  </si>
  <si>
    <t xml:space="preserve">هتنزل المرة دي</t>
  </si>
  <si>
    <t xml:space="preserve">الفتوة</t>
  </si>
  <si>
    <t xml:space="preserve">El Fetewa</t>
  </si>
  <si>
    <t xml:space="preserve">فريد شوقي</t>
  </si>
  <si>
    <t xml:space="preserve">هريدي</t>
  </si>
  <si>
    <t xml:space="preserve">الوسادة الخالية</t>
  </si>
  <si>
    <t xml:space="preserve">El Wesada El Khalia</t>
  </si>
  <si>
    <t xml:space="preserve">Romance</t>
  </si>
  <si>
    <t xml:space="preserve">عبد الحليم حافظ</t>
  </si>
  <si>
    <t xml:space="preserve">صلاح</t>
  </si>
  <si>
    <t xml:space="preserve">رد قلبي</t>
  </si>
  <si>
    <t xml:space="preserve">Rodda 2albi</t>
  </si>
  <si>
    <t xml:space="preserve">شكري سرحان</t>
  </si>
  <si>
    <t xml:space="preserve">إنجي</t>
  </si>
  <si>
    <t xml:space="preserve">باب الحديد</t>
  </si>
  <si>
    <t xml:space="preserve">Bab El 7adid</t>
  </si>
  <si>
    <t xml:space="preserve">يوسف شاهين</t>
  </si>
  <si>
    <t xml:space="preserve">قناوي</t>
  </si>
  <si>
    <t xml:space="preserve">حكاية حب</t>
  </si>
  <si>
    <t xml:space="preserve">7ekayet 7ob</t>
  </si>
  <si>
    <t xml:space="preserve">دعاء الكروان</t>
  </si>
  <si>
    <t xml:space="preserve">Do3a2 El Karawan</t>
  </si>
  <si>
    <t xml:space="preserve">آمنة</t>
  </si>
  <si>
    <t xml:space="preserve">إشاعة حب</t>
  </si>
  <si>
    <t xml:space="preserve">Esha3et 7ob</t>
  </si>
  <si>
    <t xml:space="preserve">عمر الشريف</t>
  </si>
  <si>
    <t xml:space="preserve">بداية ونهاية</t>
  </si>
  <si>
    <t xml:space="preserve">Bedaya w Nehaya</t>
  </si>
  <si>
    <t xml:space="preserve">نفيسة</t>
  </si>
  <si>
    <t xml:space="preserve">سكر هانم</t>
  </si>
  <si>
    <t xml:space="preserve">Sokkar Hanem</t>
  </si>
  <si>
    <t xml:space="preserve">كمال الشناوي</t>
  </si>
  <si>
    <t xml:space="preserve">السفيرة عزيزة</t>
  </si>
  <si>
    <t xml:space="preserve">El Safira 3aziza</t>
  </si>
  <si>
    <t xml:space="preserve">سعاد حسني</t>
  </si>
  <si>
    <t xml:space="preserve">عزيزة</t>
  </si>
  <si>
    <t xml:space="preserve">الخطايا</t>
  </si>
  <si>
    <t xml:space="preserve">El Khataya</t>
  </si>
  <si>
    <t xml:space="preserve">الزوجة 13</t>
  </si>
  <si>
    <t xml:space="preserve">El Zoga 13</t>
  </si>
  <si>
    <t xml:space="preserve">رشدي أباظة</t>
  </si>
  <si>
    <t xml:space="preserve">اللص والكلاب</t>
  </si>
  <si>
    <t xml:space="preserve">El Less wel Kelab</t>
  </si>
  <si>
    <t xml:space="preserve">Crime</t>
  </si>
  <si>
    <t xml:space="preserve">سعيد مهران</t>
  </si>
  <si>
    <t xml:space="preserve">أم العروسة</t>
  </si>
  <si>
    <t xml:space="preserve">Om El 3arousa</t>
  </si>
  <si>
    <t xml:space="preserve">عماد حمدي</t>
  </si>
  <si>
    <t xml:space="preserve">الأيدي الناعمة</t>
  </si>
  <si>
    <t xml:space="preserve">El Aydi El Na3ma</t>
  </si>
  <si>
    <t xml:space="preserve">أحمد مظهر</t>
  </si>
  <si>
    <t xml:space="preserve">الناصر صلاح الدين</t>
  </si>
  <si>
    <t xml:space="preserve">El Naser Salah El Din</t>
  </si>
  <si>
    <t xml:space="preserve">Ta2reekhy</t>
  </si>
  <si>
    <t xml:space="preserve">صلاح الدين</t>
  </si>
  <si>
    <t xml:space="preserve">عائلة زيزي</t>
  </si>
  <si>
    <t xml:space="preserve">3a2elet Zizi</t>
  </si>
  <si>
    <t xml:space="preserve">فؤاد المهندس</t>
  </si>
  <si>
    <t xml:space="preserve">زيزي</t>
  </si>
  <si>
    <t xml:space="preserve">بين القصرين</t>
  </si>
  <si>
    <t xml:space="preserve">Bein El 2asrein</t>
  </si>
  <si>
    <t xml:space="preserve">يحيى شاهين</t>
  </si>
  <si>
    <t xml:space="preserve">سي السيد</t>
  </si>
  <si>
    <t xml:space="preserve">الحرام</t>
  </si>
  <si>
    <t xml:space="preserve">El 7aram</t>
  </si>
  <si>
    <t xml:space="preserve">صغيرة على الحب</t>
  </si>
  <si>
    <t xml:space="preserve">Soghayara 3al 7ob</t>
  </si>
  <si>
    <t xml:space="preserve">الزوجة الثانية</t>
  </si>
  <si>
    <t xml:space="preserve">El Zoga El Tanya</t>
  </si>
  <si>
    <t xml:space="preserve">العمدة عتمان</t>
  </si>
  <si>
    <t xml:space="preserve">الورق ورقنا والدفاتر دفاترنا</t>
  </si>
  <si>
    <t xml:space="preserve">قصر الشوق</t>
  </si>
  <si>
    <t xml:space="preserve">2asr El Sho2</t>
  </si>
  <si>
    <t xml:space="preserve">معبودة الجماهير</t>
  </si>
  <si>
    <t xml:space="preserve">Ma3boudet El Gamaheer</t>
  </si>
  <si>
    <t xml:space="preserve">أرض النفاق</t>
  </si>
  <si>
    <t xml:space="preserve">Ard El Nefa2</t>
  </si>
  <si>
    <t xml:space="preserve">مسعود أبو السعد</t>
  </si>
  <si>
    <t xml:space="preserve">البوسطجي</t>
  </si>
  <si>
    <t xml:space="preserve">El Bostagy</t>
  </si>
  <si>
    <t xml:space="preserve">شنبو في المصيدة</t>
  </si>
  <si>
    <t xml:space="preserve">Shanbo fel Masyada</t>
  </si>
  <si>
    <t xml:space="preserve">شنبو</t>
  </si>
  <si>
    <t xml:space="preserve">قنديل أم هاشم</t>
  </si>
  <si>
    <t xml:space="preserve">2andeel Om Hashem</t>
  </si>
  <si>
    <t xml:space="preserve">مطاردة غرامية</t>
  </si>
  <si>
    <t xml:space="preserve">Motarda Gharameya</t>
  </si>
  <si>
    <t xml:space="preserve">أبي فوق الشجرة</t>
  </si>
  <si>
    <t xml:space="preserve">Abi Fo2 El Shagara</t>
  </si>
  <si>
    <t xml:space="preserve">شيء من الخوف</t>
  </si>
  <si>
    <t xml:space="preserve">Shei2 Men El Khof</t>
  </si>
  <si>
    <t xml:space="preserve">شادية</t>
  </si>
  <si>
    <t xml:space="preserve">فؤادة</t>
  </si>
  <si>
    <t xml:space="preserve">جواز عتريس من فؤادة باطل</t>
  </si>
  <si>
    <t xml:space="preserve">نص ساعة جواز</t>
  </si>
  <si>
    <t xml:space="preserve">Nos Sa3a Gawaz</t>
  </si>
  <si>
    <t xml:space="preserve">الأرض</t>
  </si>
  <si>
    <t xml:space="preserve">El Ard</t>
  </si>
  <si>
    <t xml:space="preserve">محمود المليجي</t>
  </si>
  <si>
    <t xml:space="preserve">محمد أبو سويلم</t>
  </si>
  <si>
    <t xml:space="preserve">ثرثرة فوق النيل</t>
  </si>
  <si>
    <t xml:space="preserve">Tharthara Fo2 El Nil</t>
  </si>
  <si>
    <t xml:space="preserve">إمبراطورية ميم</t>
  </si>
  <si>
    <t xml:space="preserve">Embratoreyet Mim</t>
  </si>
  <si>
    <t xml:space="preserve">خلي بالك من زوزو</t>
  </si>
  <si>
    <t xml:space="preserve">Khally Balak Men Zouzou</t>
  </si>
  <si>
    <t xml:space="preserve">زوزو</t>
  </si>
  <si>
    <t xml:space="preserve">السكرية</t>
  </si>
  <si>
    <t xml:space="preserve">El Sokkareya</t>
  </si>
  <si>
    <t xml:space="preserve">الحفيد</t>
  </si>
  <si>
    <t xml:space="preserve">El 7afeed</t>
  </si>
  <si>
    <t xml:space="preserve">عبد المنعم مدبولي</t>
  </si>
  <si>
    <t xml:space="preserve">أريد حلاً</t>
  </si>
  <si>
    <t xml:space="preserve">Oreed 7allan</t>
  </si>
  <si>
    <t xml:space="preserve">الكرنك</t>
  </si>
  <si>
    <t xml:space="preserve">El Karnak</t>
  </si>
  <si>
    <t xml:space="preserve">أفواه وأرانب</t>
  </si>
  <si>
    <t xml:space="preserve">Afwah w Araneb</t>
  </si>
  <si>
    <t xml:space="preserve">نعمة</t>
  </si>
  <si>
    <t xml:space="preserve">السقا مات</t>
  </si>
  <si>
    <t xml:space="preserve">El Sa22a Mat</t>
  </si>
  <si>
    <t xml:space="preserve">عزت العلايلي</t>
  </si>
  <si>
    <t xml:space="preserve">شفيقة ومتولي</t>
  </si>
  <si>
    <t xml:space="preserve">Shafi2a w Metwally</t>
  </si>
  <si>
    <t xml:space="preserve">شفيقة</t>
  </si>
  <si>
    <t xml:space="preserve">إسكندرية ليه</t>
  </si>
  <si>
    <t xml:space="preserve">Eskendereya Leh</t>
  </si>
  <si>
    <t xml:space="preserve">محسن محيي الدين</t>
  </si>
  <si>
    <t xml:space="preserve">الباطنية</t>
  </si>
  <si>
    <t xml:space="preserve">El Batneya</t>
  </si>
  <si>
    <t xml:space="preserve">نادية الجندي</t>
  </si>
  <si>
    <t xml:space="preserve">المشبوه</t>
  </si>
  <si>
    <t xml:space="preserve">El Mashbouh</t>
  </si>
  <si>
    <t xml:space="preserve">عادل إمام</t>
  </si>
  <si>
    <t xml:space="preserve">ماهر</t>
  </si>
  <si>
    <t xml:space="preserve">العار</t>
  </si>
  <si>
    <t xml:space="preserve">El 3ar</t>
  </si>
  <si>
    <t xml:space="preserve">نور الشريف</t>
  </si>
  <si>
    <t xml:space="preserve">سواق الأتوبيس</t>
  </si>
  <si>
    <t xml:space="preserve">Sawa2 El Otobis</t>
  </si>
  <si>
    <t xml:space="preserve">حسن</t>
  </si>
  <si>
    <t xml:space="preserve">عصابة حمادة وتوتو</t>
  </si>
  <si>
    <t xml:space="preserve">3esabet 7amada w Toto</t>
  </si>
  <si>
    <t xml:space="preserve">حمادة</t>
  </si>
  <si>
    <t xml:space="preserve">على باب الوزير</t>
  </si>
  <si>
    <t xml:space="preserve">3ala Bab El Wazir</t>
  </si>
  <si>
    <t xml:space="preserve">الغول</t>
  </si>
  <si>
    <t xml:space="preserve">El Ghoul</t>
  </si>
  <si>
    <t xml:space="preserve">حب في الزنزانة</t>
  </si>
  <si>
    <t xml:space="preserve">7ob fel Zenzana</t>
  </si>
  <si>
    <t xml:space="preserve">آخر الرجال المحترمين</t>
  </si>
  <si>
    <t xml:space="preserve">Akher El Regala El Mo7tarameen</t>
  </si>
  <si>
    <t xml:space="preserve">احترس من الخط</t>
  </si>
  <si>
    <t xml:space="preserve">E7tares Men El Khat</t>
  </si>
  <si>
    <t xml:space="preserve">الأفوكاتو</t>
  </si>
  <si>
    <t xml:space="preserve">El Avocato</t>
  </si>
  <si>
    <t xml:space="preserve">حسن سبانخ</t>
  </si>
  <si>
    <t xml:space="preserve">الحريف</t>
  </si>
  <si>
    <t xml:space="preserve">El 7erreef</t>
  </si>
  <si>
    <t xml:space="preserve">فارس</t>
  </si>
  <si>
    <t xml:space="preserve">الراقصة والطبال</t>
  </si>
  <si>
    <t xml:space="preserve">El Ra2sa wel Tabbal</t>
  </si>
  <si>
    <t xml:space="preserve">نبيلة عبيد</t>
  </si>
  <si>
    <t xml:space="preserve">الإنس والجن</t>
  </si>
  <si>
    <t xml:space="preserve">El Ens wel Gen</t>
  </si>
  <si>
    <t xml:space="preserve">Horror</t>
  </si>
  <si>
    <t xml:space="preserve">الكيف</t>
  </si>
  <si>
    <t xml:space="preserve">El Keif</t>
  </si>
  <si>
    <t xml:space="preserve">محمود عبد العزيز</t>
  </si>
  <si>
    <t xml:space="preserve">مزاجنجي</t>
  </si>
  <si>
    <t xml:space="preserve">الهلفوت</t>
  </si>
  <si>
    <t xml:space="preserve">El Halfout</t>
  </si>
  <si>
    <t xml:space="preserve">رمضان فوق البركان</t>
  </si>
  <si>
    <t xml:space="preserve">Ramadan Fo2 El Borkan</t>
  </si>
  <si>
    <t xml:space="preserve">رمضان</t>
  </si>
  <si>
    <t xml:space="preserve">البريء</t>
  </si>
  <si>
    <t xml:space="preserve">El Baree2</t>
  </si>
  <si>
    <t xml:space="preserve">أحمد زكي</t>
  </si>
  <si>
    <t xml:space="preserve">أحمد سبع الليل</t>
  </si>
  <si>
    <t xml:space="preserve">الجوع</t>
  </si>
  <si>
    <t xml:space="preserve">El Go3</t>
  </si>
  <si>
    <t xml:space="preserve">الحب فوق هضبة الهرم</t>
  </si>
  <si>
    <t xml:space="preserve">El 7ob Fo2 Hadabet El Haram</t>
  </si>
  <si>
    <t xml:space="preserve">كراكون في الشارع</t>
  </si>
  <si>
    <t xml:space="preserve">Karakon fel Share3</t>
  </si>
  <si>
    <t xml:space="preserve">البيه البواب</t>
  </si>
  <si>
    <t xml:space="preserve">El Beih El Bawab</t>
  </si>
  <si>
    <t xml:space="preserve">عبد السميع</t>
  </si>
  <si>
    <t xml:space="preserve">النمر والأنثى</t>
  </si>
  <si>
    <t xml:space="preserve">El Nemr wel Onsa</t>
  </si>
  <si>
    <t xml:space="preserve">Action</t>
  </si>
  <si>
    <t xml:space="preserve">زوجة رجل مهم</t>
  </si>
  <si>
    <t xml:space="preserve">Zogat Ragel Mohem</t>
  </si>
  <si>
    <t xml:space="preserve">هشام</t>
  </si>
  <si>
    <t xml:space="preserve">سلام يا صاحبي</t>
  </si>
  <si>
    <t xml:space="preserve">Salam Ya Sa7bi</t>
  </si>
  <si>
    <t xml:space="preserve">مرزوق</t>
  </si>
  <si>
    <t xml:space="preserve">أحلام هند وكاميليا</t>
  </si>
  <si>
    <t xml:space="preserve">A7lam Hend w Camelia</t>
  </si>
  <si>
    <t xml:space="preserve">نجلاء فتحي</t>
  </si>
  <si>
    <t xml:space="preserve">يوم مر ويوم حلو</t>
  </si>
  <si>
    <t xml:space="preserve">Youm Mor w Youm 7elw</t>
  </si>
  <si>
    <t xml:space="preserve">البيضة والحجر</t>
  </si>
  <si>
    <t xml:space="preserve">El Beida wel 7agar</t>
  </si>
  <si>
    <t xml:space="preserve">مستطاع الطوبجي</t>
  </si>
  <si>
    <t xml:space="preserve">الراقصة والسياسي</t>
  </si>
  <si>
    <t xml:space="preserve">El Ra2sa wel Seyasy</t>
  </si>
  <si>
    <t xml:space="preserve">حنفي الأبهة</t>
  </si>
  <si>
    <t xml:space="preserve">7anafy El Obbaha</t>
  </si>
  <si>
    <t xml:space="preserve">كابوريا</t>
  </si>
  <si>
    <t xml:space="preserve">Kaboria</t>
  </si>
  <si>
    <t xml:space="preserve">حسن هدهد</t>
  </si>
  <si>
    <t xml:space="preserve">الكيت كات</t>
  </si>
  <si>
    <t xml:space="preserve">El Kit Kat</t>
  </si>
  <si>
    <t xml:space="preserve">الشيخ حسني</t>
  </si>
  <si>
    <t xml:space="preserve">اللعب مع الكبار</t>
  </si>
  <si>
    <t xml:space="preserve">El Le3b Ma3 El Kobar</t>
  </si>
  <si>
    <t xml:space="preserve">حسن بهنسي بهلول</t>
  </si>
  <si>
    <t xml:space="preserve">الهروب</t>
  </si>
  <si>
    <t xml:space="preserve">El Horoub</t>
  </si>
  <si>
    <t xml:space="preserve">منتصر</t>
  </si>
  <si>
    <t xml:space="preserve">شمس الزناتي</t>
  </si>
  <si>
    <t xml:space="preserve">Shams El Zanaty</t>
  </si>
  <si>
    <t xml:space="preserve">آيس كريم في جليم</t>
  </si>
  <si>
    <t xml:space="preserve">Ice Cream fi Gleem</t>
  </si>
  <si>
    <t xml:space="preserve">عمرو دياب</t>
  </si>
  <si>
    <t xml:space="preserve">الإرهاب والكباب</t>
  </si>
  <si>
    <t xml:space="preserve">El Erhab wel Kabab</t>
  </si>
  <si>
    <t xml:space="preserve">أحمد</t>
  </si>
  <si>
    <t xml:space="preserve">ضد الحكومة</t>
  </si>
  <si>
    <t xml:space="preserve">Ded El 7okouma</t>
  </si>
  <si>
    <t xml:space="preserve">مصطفى خلف</t>
  </si>
  <si>
    <t xml:space="preserve">كلنا فاسدون</t>
  </si>
  <si>
    <t xml:space="preserve">المنسي</t>
  </si>
  <si>
    <t xml:space="preserve">El Mansy</t>
  </si>
  <si>
    <t xml:space="preserve">يوسف المنسي</t>
  </si>
  <si>
    <t xml:space="preserve">مستر كاراتيه</t>
  </si>
  <si>
    <t xml:space="preserve">Mister Karate</t>
  </si>
  <si>
    <t xml:space="preserve">الإرهابي</t>
  </si>
  <si>
    <t xml:space="preserve">El Erhaby</t>
  </si>
  <si>
    <t xml:space="preserve">علي عبد الظاهر</t>
  </si>
  <si>
    <t xml:space="preserve">المهاجر</t>
  </si>
  <si>
    <t xml:space="preserve">El Mohager</t>
  </si>
  <si>
    <t xml:space="preserve">خالد النبوي</t>
  </si>
  <si>
    <t xml:space="preserve">بخيت وعديلة</t>
  </si>
  <si>
    <t xml:space="preserve">Bekheet w 3adeela</t>
  </si>
  <si>
    <t xml:space="preserve">بخيت</t>
  </si>
  <si>
    <t xml:space="preserve">طيور الظلام</t>
  </si>
  <si>
    <t xml:space="preserve">Toyour El Zalam</t>
  </si>
  <si>
    <t xml:space="preserve">فتحي نوفل</t>
  </si>
  <si>
    <t xml:space="preserve">النوم في العسل</t>
  </si>
  <si>
    <t xml:space="preserve">El Nom fel 3asal</t>
  </si>
  <si>
    <t xml:space="preserve">مجدي نور</t>
  </si>
  <si>
    <t xml:space="preserve">ناصر 56</t>
  </si>
  <si>
    <t xml:space="preserve">Nasser 56</t>
  </si>
  <si>
    <t xml:space="preserve">جمال عبد الناصر</t>
  </si>
  <si>
    <t xml:space="preserve">إسماعيلية رايح جاي</t>
  </si>
  <si>
    <t xml:space="preserve">Ismailia Raye7 Gay</t>
  </si>
  <si>
    <t xml:space="preserve">محمد فؤاد</t>
  </si>
  <si>
    <t xml:space="preserve">اضحك الصورة تطلع حلوة</t>
  </si>
  <si>
    <t xml:space="preserve">E2da7ak El Soura Tetla3 7elwa</t>
  </si>
  <si>
    <t xml:space="preserve">سيد غريب</t>
  </si>
  <si>
    <t xml:space="preserve">صعيدي في الجامعة الأمريكية</t>
  </si>
  <si>
    <t xml:space="preserve">Se3idy fel Gam3a El Amrikeya</t>
  </si>
  <si>
    <t xml:space="preserve">محمد هنيدي</t>
  </si>
  <si>
    <t xml:space="preserve">خلف الدهشوري خلف</t>
  </si>
  <si>
    <t xml:space="preserve">عرق البلح</t>
  </si>
  <si>
    <t xml:space="preserve">3ara2 El Bala7</t>
  </si>
  <si>
    <t xml:space="preserve">شريف منير</t>
  </si>
  <si>
    <t xml:space="preserve">الواد محروس بتاع الوزير</t>
  </si>
  <si>
    <t xml:space="preserve">El Wad Ma7rous Beta3 El Wazir</t>
  </si>
  <si>
    <t xml:space="preserve">محروس</t>
  </si>
  <si>
    <t xml:space="preserve">عبود على الحدود</t>
  </si>
  <si>
    <t xml:space="preserve">3abboud 3al 7edoud</t>
  </si>
  <si>
    <t xml:space="preserve">علاء ولي الدين</t>
  </si>
  <si>
    <t xml:space="preserve">عبود</t>
  </si>
  <si>
    <t xml:space="preserve">همام في أمستردام</t>
  </si>
  <si>
    <t xml:space="preserve">Hammam fi Amsterdam</t>
  </si>
  <si>
    <t xml:space="preserve">همام</t>
  </si>
  <si>
    <t xml:space="preserve">أرض الخوف</t>
  </si>
  <si>
    <t xml:space="preserve">Ard El Khof</t>
  </si>
  <si>
    <t xml:space="preserve">يحيى المنقبادي</t>
  </si>
  <si>
    <t xml:space="preserve">الناظر</t>
  </si>
  <si>
    <t xml:space="preserve">El Nazer</t>
  </si>
  <si>
    <t xml:space="preserve">عاشور</t>
  </si>
  <si>
    <t xml:space="preserve">شورت وفانلة وكاب</t>
  </si>
  <si>
    <t xml:space="preserve">Short w Fanella w Cap</t>
  </si>
  <si>
    <t xml:space="preserve">أحمد السقا</t>
  </si>
  <si>
    <t xml:space="preserve">أفريكانو</t>
  </si>
  <si>
    <t xml:space="preserve">Africano</t>
  </si>
  <si>
    <t xml:space="preserve">أيام السادات</t>
  </si>
  <si>
    <t xml:space="preserve">Ayam El Sadat</t>
  </si>
  <si>
    <t xml:space="preserve">أنور السادات</t>
  </si>
  <si>
    <t xml:space="preserve">ابن عز</t>
  </si>
  <si>
    <t xml:space="preserve">Ibn 3ezz</t>
  </si>
  <si>
    <t xml:space="preserve">الساحر</t>
  </si>
  <si>
    <t xml:space="preserve">El Sa7er</t>
  </si>
  <si>
    <t xml:space="preserve">السلم والثعبان</t>
  </si>
  <si>
    <t xml:space="preserve">El Sellem wel Te3ban</t>
  </si>
  <si>
    <t xml:space="preserve">هاني سلامة</t>
  </si>
  <si>
    <t xml:space="preserve">جاءنا البيان التالي</t>
  </si>
  <si>
    <t xml:space="preserve">Ga2ana El Bayan El Taly</t>
  </si>
  <si>
    <t xml:space="preserve">جواز بقرار جمهوري</t>
  </si>
  <si>
    <t xml:space="preserve">Gawaz Be2arar Gomhoury</t>
  </si>
  <si>
    <t xml:space="preserve">هاني رمزي</t>
  </si>
  <si>
    <t xml:space="preserve">أمير الظلام</t>
  </si>
  <si>
    <t xml:space="preserve">Amir El Zalam</t>
  </si>
  <si>
    <t xml:space="preserve">اللمبي</t>
  </si>
  <si>
    <t xml:space="preserve">El Limby</t>
  </si>
  <si>
    <t xml:space="preserve">محمد سعد</t>
  </si>
  <si>
    <t xml:space="preserve">حرامية في كي جي تو</t>
  </si>
  <si>
    <t xml:space="preserve">7arameya fi KG2</t>
  </si>
  <si>
    <t xml:space="preserve">كريم عبد العزيز</t>
  </si>
  <si>
    <t xml:space="preserve">صاحب صاحبه</t>
  </si>
  <si>
    <t xml:space="preserve">Sa7eb Sa7bo</t>
  </si>
  <si>
    <t xml:space="preserve">مافيا</t>
  </si>
  <si>
    <t xml:space="preserve">Mafia</t>
  </si>
  <si>
    <t xml:space="preserve">محامي خلع</t>
  </si>
  <si>
    <t xml:space="preserve">Mo7amy Khol3</t>
  </si>
  <si>
    <t xml:space="preserve">معالي الوزير</t>
  </si>
  <si>
    <t xml:space="preserve">Ma3aly El Wazir</t>
  </si>
  <si>
    <t xml:space="preserve">رأفت رستم</t>
  </si>
  <si>
    <t xml:space="preserve">التجربة الدنماركية</t>
  </si>
  <si>
    <t xml:space="preserve">El Tagroba El Danmarkeya</t>
  </si>
  <si>
    <t xml:space="preserve">قدري المنياوي</t>
  </si>
  <si>
    <t xml:space="preserve">اللي بالي بالك</t>
  </si>
  <si>
    <t xml:space="preserve">Elly Bali Balak</t>
  </si>
  <si>
    <t xml:space="preserve">حرامية في تايلاند</t>
  </si>
  <si>
    <t xml:space="preserve">7arameya fi Thailand</t>
  </si>
  <si>
    <t xml:space="preserve">سهر الليالي</t>
  </si>
  <si>
    <t xml:space="preserve">Sahar El Layaly</t>
  </si>
  <si>
    <t xml:space="preserve">منى زكي</t>
  </si>
  <si>
    <t xml:space="preserve">عايز حقي</t>
  </si>
  <si>
    <t xml:space="preserve">3ayez 7a2i</t>
  </si>
  <si>
    <t xml:space="preserve">صابر</t>
  </si>
  <si>
    <t xml:space="preserve">عسكر في المعسكر</t>
  </si>
  <si>
    <t xml:space="preserve">3askar fel Mo3askar</t>
  </si>
  <si>
    <t xml:space="preserve">ميدو مشاكل</t>
  </si>
  <si>
    <t xml:space="preserve">Meedo Mashakel</t>
  </si>
  <si>
    <t xml:space="preserve">أحمد حلمي</t>
  </si>
  <si>
    <t xml:space="preserve">ميدو</t>
  </si>
  <si>
    <t xml:space="preserve">الباشا تلميذ</t>
  </si>
  <si>
    <t xml:space="preserve">El Basha Telmeez</t>
  </si>
  <si>
    <t xml:space="preserve">بحب السيما</t>
  </si>
  <si>
    <t xml:space="preserve">Ba7eb El Cima</t>
  </si>
  <si>
    <t xml:space="preserve">محمود حميدة</t>
  </si>
  <si>
    <t xml:space="preserve">تيتو</t>
  </si>
  <si>
    <t xml:space="preserve">Tito</t>
  </si>
  <si>
    <t xml:space="preserve">خالتي فرنسا</t>
  </si>
  <si>
    <t xml:space="preserve">Khalty Faransa</t>
  </si>
  <si>
    <t xml:space="preserve">عبلة كامل</t>
  </si>
  <si>
    <t xml:space="preserve">فرنسا</t>
  </si>
  <si>
    <t xml:space="preserve">عريس من جهة أمنية</t>
  </si>
  <si>
    <t xml:space="preserve">3arees Men Gaha Amneya</t>
  </si>
  <si>
    <t xml:space="preserve">عوكل</t>
  </si>
  <si>
    <t xml:space="preserve">3awkal</t>
  </si>
  <si>
    <t xml:space="preserve">غبي منه فيه</t>
  </si>
  <si>
    <t xml:space="preserve">Ghaby Meno Feeh</t>
  </si>
  <si>
    <t xml:space="preserve">فول الصين العظيم</t>
  </si>
  <si>
    <t xml:space="preserve">Fool El Seen El 3azeem</t>
  </si>
  <si>
    <t xml:space="preserve">محيي</t>
  </si>
  <si>
    <t xml:space="preserve">أبو علي</t>
  </si>
  <si>
    <t xml:space="preserve">Abo 3ali</t>
  </si>
  <si>
    <t xml:space="preserve">الحاسة السابعة</t>
  </si>
  <si>
    <t xml:space="preserve">El 7assa El Sab3a</t>
  </si>
  <si>
    <t xml:space="preserve">أحمد الفيشاوي</t>
  </si>
  <si>
    <t xml:space="preserve">السفارة في العمارة</t>
  </si>
  <si>
    <t xml:space="preserve">El Sefara fel 3emara</t>
  </si>
  <si>
    <t xml:space="preserve">شريف خيري</t>
  </si>
  <si>
    <t xml:space="preserve">بوحة</t>
  </si>
  <si>
    <t xml:space="preserve">Bo7a</t>
  </si>
  <si>
    <t xml:space="preserve">حرب أطاليا</t>
  </si>
  <si>
    <t xml:space="preserve">7arb Italia</t>
  </si>
  <si>
    <t xml:space="preserve">زكي شان</t>
  </si>
  <si>
    <t xml:space="preserve">Zaki Chan</t>
  </si>
  <si>
    <t xml:space="preserve">زكي</t>
  </si>
  <si>
    <t xml:space="preserve">سيد العاطفي</t>
  </si>
  <si>
    <t xml:space="preserve">Sayed El 3atefy</t>
  </si>
  <si>
    <t xml:space="preserve">تامر حسني</t>
  </si>
  <si>
    <t xml:space="preserve">سيد</t>
  </si>
  <si>
    <t xml:space="preserve">ليلة سقوط بغداد</t>
  </si>
  <si>
    <t xml:space="preserve">Leilet So2out Baghdad</t>
  </si>
  <si>
    <t xml:space="preserve">أحمد عيد</t>
  </si>
  <si>
    <t xml:space="preserve">جعلتني مجرماً</t>
  </si>
  <si>
    <t xml:space="preserve">Ga3altany Mogreman</t>
  </si>
  <si>
    <t xml:space="preserve">حليم</t>
  </si>
  <si>
    <t xml:space="preserve">7aleem</t>
  </si>
  <si>
    <t xml:space="preserve">ظاظا</t>
  </si>
  <si>
    <t xml:space="preserve">Zaza</t>
  </si>
  <si>
    <t xml:space="preserve">ظرف طارق</t>
  </si>
  <si>
    <t xml:space="preserve">Zarf Tare2</t>
  </si>
  <si>
    <t xml:space="preserve">طارق</t>
  </si>
  <si>
    <t xml:space="preserve">عمارة يعقوبيان</t>
  </si>
  <si>
    <t xml:space="preserve">3emaret Ya3qoubian</t>
  </si>
  <si>
    <t xml:space="preserve">زكي الدسوقي</t>
  </si>
  <si>
    <t xml:space="preserve">كتكوت</t>
  </si>
  <si>
    <t xml:space="preserve">Katkout</t>
  </si>
  <si>
    <t xml:space="preserve">مطب صناعي</t>
  </si>
  <si>
    <t xml:space="preserve">Matab Sena3y</t>
  </si>
  <si>
    <t xml:space="preserve">واحد من الناس</t>
  </si>
  <si>
    <t xml:space="preserve">Wa7ed Men El Nas</t>
  </si>
  <si>
    <t xml:space="preserve">وش إجرام</t>
  </si>
  <si>
    <t xml:space="preserve">Wesh Egram</t>
  </si>
  <si>
    <t xml:space="preserve">أنا مش معاهم</t>
  </si>
  <si>
    <t xml:space="preserve">Ana Mesh Ma3ahom</t>
  </si>
  <si>
    <t xml:space="preserve">الجزيرة</t>
  </si>
  <si>
    <t xml:space="preserve">El Gezira</t>
  </si>
  <si>
    <t xml:space="preserve">منصور الحفني</t>
  </si>
  <si>
    <t xml:space="preserve">من النهارده مفيش حكومة، أنا الحكومة</t>
  </si>
  <si>
    <t xml:space="preserve">تيمور وشفيقة</t>
  </si>
  <si>
    <t xml:space="preserve">Teymour w Shafi2a</t>
  </si>
  <si>
    <t xml:space="preserve">تيمور</t>
  </si>
  <si>
    <t xml:space="preserve">حين ميسرة</t>
  </si>
  <si>
    <t xml:space="preserve">7een Maysara</t>
  </si>
  <si>
    <t xml:space="preserve">عمرو سعد</t>
  </si>
  <si>
    <t xml:space="preserve">عمر وسلمى</t>
  </si>
  <si>
    <t xml:space="preserve">3omar w Salma</t>
  </si>
  <si>
    <t xml:space="preserve">عمر</t>
  </si>
  <si>
    <t xml:space="preserve">كده رضا</t>
  </si>
  <si>
    <t xml:space="preserve">Keda Reda</t>
  </si>
  <si>
    <t xml:space="preserve">رضا</t>
  </si>
  <si>
    <t xml:space="preserve">كركر</t>
  </si>
  <si>
    <t xml:space="preserve">Karkar</t>
  </si>
  <si>
    <t xml:space="preserve">مرجان أحمد مرجان</t>
  </si>
  <si>
    <t xml:space="preserve">Morgan A7med Morgan</t>
  </si>
  <si>
    <t xml:space="preserve">مرجان</t>
  </si>
  <si>
    <t xml:space="preserve">هي فوضى</t>
  </si>
  <si>
    <t xml:space="preserve">Heya Fawda</t>
  </si>
  <si>
    <t xml:space="preserve">خالد صالح</t>
  </si>
  <si>
    <t xml:space="preserve">حاتم</t>
  </si>
  <si>
    <t xml:space="preserve">آسف على الإزعاج</t>
  </si>
  <si>
    <t xml:space="preserve">Asef 3al Ez3ag</t>
  </si>
  <si>
    <t xml:space="preserve">إتش دبور</t>
  </si>
  <si>
    <t xml:space="preserve">H Dabbour</t>
  </si>
  <si>
    <t xml:space="preserve">أحمد مكي</t>
  </si>
  <si>
    <t xml:space="preserve">دبور</t>
  </si>
  <si>
    <t xml:space="preserve">الريس عمر حرب</t>
  </si>
  <si>
    <t xml:space="preserve">El Rayes 3omar 7arb</t>
  </si>
  <si>
    <t xml:space="preserve">عمر حرب</t>
  </si>
  <si>
    <t xml:space="preserve">حسن ومرقص</t>
  </si>
  <si>
    <t xml:space="preserve">7assan w Morcos</t>
  </si>
  <si>
    <t xml:space="preserve">رامي الاعتصامي</t>
  </si>
  <si>
    <t xml:space="preserve">Ramy El E3tesamy</t>
  </si>
  <si>
    <t xml:space="preserve">رامي</t>
  </si>
  <si>
    <t xml:space="preserve">رمضان مبروك أبو العلمين حمودة</t>
  </si>
  <si>
    <t xml:space="preserve">Ramadan Mabrouk Abo El 3alamein 7amouda</t>
  </si>
  <si>
    <t xml:space="preserve">رمضان مبروك</t>
  </si>
  <si>
    <t xml:space="preserve">عندليب الدقي</t>
  </si>
  <si>
    <t xml:space="preserve">3andaleeb El Do22i</t>
  </si>
  <si>
    <t xml:space="preserve">كباريه</t>
  </si>
  <si>
    <t xml:space="preserve">Cabaret</t>
  </si>
  <si>
    <t xml:space="preserve">خالد الصاوي</t>
  </si>
  <si>
    <t xml:space="preserve">مسجون ترانزيت</t>
  </si>
  <si>
    <t xml:space="preserve">Masgoun Transit</t>
  </si>
  <si>
    <t xml:space="preserve">أحمد عز</t>
  </si>
  <si>
    <t xml:space="preserve">ورقة شفرة</t>
  </si>
  <si>
    <t xml:space="preserve">Wara2et Shafra</t>
  </si>
  <si>
    <t xml:space="preserve">أحمد فهمي</t>
  </si>
  <si>
    <t xml:space="preserve">ألف مبروك</t>
  </si>
  <si>
    <t xml:space="preserve">Alf Mabrouk</t>
  </si>
  <si>
    <t xml:space="preserve">أحمد جلال</t>
  </si>
  <si>
    <t xml:space="preserve">أمير البحار</t>
  </si>
  <si>
    <t xml:space="preserve">Amir El Bi7ar</t>
  </si>
  <si>
    <t xml:space="preserve">إبراهيم الأبيض</t>
  </si>
  <si>
    <t xml:space="preserve">Ibrahim El Abyad</t>
  </si>
  <si>
    <t xml:space="preserve">الفرح</t>
  </si>
  <si>
    <t xml:space="preserve">El Fara7</t>
  </si>
  <si>
    <t xml:space="preserve">بوبوس</t>
  </si>
  <si>
    <t xml:space="preserve">Bobbos</t>
  </si>
  <si>
    <t xml:space="preserve">خلطة فوزية</t>
  </si>
  <si>
    <t xml:space="preserve">Khaltet Fawzeya</t>
  </si>
  <si>
    <t xml:space="preserve">إلهام شاهين</t>
  </si>
  <si>
    <t xml:space="preserve">فوزية</t>
  </si>
  <si>
    <t xml:space="preserve">دكان شحاتة</t>
  </si>
  <si>
    <t xml:space="preserve">Dokkan Shehata</t>
  </si>
  <si>
    <t xml:space="preserve">شحاتة</t>
  </si>
  <si>
    <t xml:space="preserve">طير إنت</t>
  </si>
  <si>
    <t xml:space="preserve">Teer Enta</t>
  </si>
  <si>
    <t xml:space="preserve">واحد صفر</t>
  </si>
  <si>
    <t xml:space="preserve">Wa7ed Sefr</t>
  </si>
  <si>
    <t xml:space="preserve">ولاد العم</t>
  </si>
  <si>
    <t xml:space="preserve">Welad El 3am</t>
  </si>
  <si>
    <t xml:space="preserve">ابن القنصل</t>
  </si>
  <si>
    <t xml:space="preserve">Ibn El 2onsol</t>
  </si>
  <si>
    <t xml:space="preserve">الثلاثة يشتغلونها</t>
  </si>
  <si>
    <t xml:space="preserve">El Talata Yeshtaghalonha</t>
  </si>
  <si>
    <t xml:space="preserve">ياسمين عبد العزيز</t>
  </si>
  <si>
    <t xml:space="preserve">نجيبة</t>
  </si>
  <si>
    <t xml:space="preserve">اللمبي 8 جيجا</t>
  </si>
  <si>
    <t xml:space="preserve">El Limby 8 Giga</t>
  </si>
  <si>
    <t xml:space="preserve">بلبل حيران</t>
  </si>
  <si>
    <t xml:space="preserve">Bolbol 7ayran</t>
  </si>
  <si>
    <t xml:space="preserve">بلبل</t>
  </si>
  <si>
    <t xml:space="preserve">زهايمر</t>
  </si>
  <si>
    <t xml:space="preserve">Alzheimer</t>
  </si>
  <si>
    <t xml:space="preserve">محمود شعيب</t>
  </si>
  <si>
    <t xml:space="preserve">سمير وشهير وبهير</t>
  </si>
  <si>
    <t xml:space="preserve">Samir w Shahir w Bahir</t>
  </si>
  <si>
    <t xml:space="preserve">عسل إسود</t>
  </si>
  <si>
    <t xml:space="preserve">3asal Eswed</t>
  </si>
  <si>
    <t xml:space="preserve">مصري سيد العربي</t>
  </si>
  <si>
    <t xml:space="preserve">كلمني شكراً</t>
  </si>
  <si>
    <t xml:space="preserve">Kallemni Shokran</t>
  </si>
  <si>
    <t xml:space="preserve">عمرو عبد الجليل</t>
  </si>
  <si>
    <t xml:space="preserve">إبراهيم توشكى</t>
  </si>
  <si>
    <t xml:space="preserve">لا تراجع ولا استسلام</t>
  </si>
  <si>
    <t xml:space="preserve">La Tarago3 wala Esteslam</t>
  </si>
  <si>
    <t xml:space="preserve">حزلقوم</t>
  </si>
  <si>
    <t xml:space="preserve">365 يوم سعادة</t>
  </si>
  <si>
    <t xml:space="preserve">365 Youm Sa3ada</t>
  </si>
  <si>
    <t xml:space="preserve">إكس لارج</t>
  </si>
  <si>
    <t xml:space="preserve">X Large</t>
  </si>
  <si>
    <t xml:space="preserve">مجدي</t>
  </si>
  <si>
    <t xml:space="preserve">الآنسة مامي</t>
  </si>
  <si>
    <t xml:space="preserve">El Anesa Mamy</t>
  </si>
  <si>
    <t xml:space="preserve">سيما علي بابا</t>
  </si>
  <si>
    <t xml:space="preserve">Cima 3ali Baba</t>
  </si>
  <si>
    <t xml:space="preserve">واحد صحيح</t>
  </si>
  <si>
    <t xml:space="preserve">Wa7ed Sa7ee7</t>
  </si>
  <si>
    <t xml:space="preserve">الألماني</t>
  </si>
  <si>
    <t xml:space="preserve">El Almany</t>
  </si>
  <si>
    <t xml:space="preserve">محمد رمضان</t>
  </si>
  <si>
    <t xml:space="preserve">المصلحة</t>
  </si>
  <si>
    <t xml:space="preserve">El Masla7a</t>
  </si>
  <si>
    <t xml:space="preserve">بنات العم</t>
  </si>
  <si>
    <t xml:space="preserve">Banat El 3am</t>
  </si>
  <si>
    <t xml:space="preserve">جيم أوفر</t>
  </si>
  <si>
    <t xml:space="preserve">Game Over</t>
  </si>
  <si>
    <t xml:space="preserve">يسرا</t>
  </si>
  <si>
    <t xml:space="preserve">ساعة ونص</t>
  </si>
  <si>
    <t xml:space="preserve">Sa3a w Nos</t>
  </si>
  <si>
    <t xml:space="preserve">فتحي عبد الوهاب</t>
  </si>
  <si>
    <t xml:space="preserve">عبده موتة</t>
  </si>
  <si>
    <t xml:space="preserve">3abdo Mouta</t>
  </si>
  <si>
    <t xml:space="preserve">الحفلة</t>
  </si>
  <si>
    <t xml:space="preserve">El 7afla</t>
  </si>
  <si>
    <t xml:space="preserve">Thriller</t>
  </si>
  <si>
    <t xml:space="preserve">سمير أبو النيل</t>
  </si>
  <si>
    <t xml:space="preserve">Samir Abo El Nil</t>
  </si>
  <si>
    <t xml:space="preserve">سمير</t>
  </si>
  <si>
    <t xml:space="preserve">على جثتي</t>
  </si>
  <si>
    <t xml:space="preserve">3ala Gosseti</t>
  </si>
  <si>
    <t xml:space="preserve">قلب الأسد</t>
  </si>
  <si>
    <t xml:space="preserve">2alb El Asad</t>
  </si>
  <si>
    <t xml:space="preserve">الحرب العالمية الثالثة</t>
  </si>
  <si>
    <t xml:space="preserve">El 7arb El 3alameya El Talta</t>
  </si>
  <si>
    <t xml:space="preserve">الفيل الأزرق</t>
  </si>
  <si>
    <t xml:space="preserve">El Feel El Azra2</t>
  </si>
  <si>
    <t xml:space="preserve">يحيى</t>
  </si>
  <si>
    <t xml:space="preserve">صنع في مصر</t>
  </si>
  <si>
    <t xml:space="preserve">Son3 fi Masr</t>
  </si>
  <si>
    <t xml:space="preserve">فتاة المصنع</t>
  </si>
  <si>
    <t xml:space="preserve">Fatat El Masna3</t>
  </si>
  <si>
    <t xml:space="preserve">ياسمين رئيس</t>
  </si>
  <si>
    <t xml:space="preserve">هيام</t>
  </si>
  <si>
    <t xml:space="preserve">شد أجزاء</t>
  </si>
  <si>
    <t xml:space="preserve">Shed Agza2</t>
  </si>
  <si>
    <t xml:space="preserve">كابتن مصر</t>
  </si>
  <si>
    <t xml:space="preserve">Captain Masr</t>
  </si>
  <si>
    <t xml:space="preserve">محمد إمام</t>
  </si>
  <si>
    <t xml:space="preserve">ولاد رزق</t>
  </si>
  <si>
    <t xml:space="preserve">Welad Rezq</t>
  </si>
  <si>
    <t xml:space="preserve">اشتباك</t>
  </si>
  <si>
    <t xml:space="preserve">Eshtebak</t>
  </si>
  <si>
    <t xml:space="preserve">نيللي كريم</t>
  </si>
  <si>
    <t xml:space="preserve">حملة فريزر</t>
  </si>
  <si>
    <t xml:space="preserve">7amlet Freezer</t>
  </si>
  <si>
    <t xml:space="preserve">هشام ماجد</t>
  </si>
  <si>
    <t xml:space="preserve">لف ودوران</t>
  </si>
  <si>
    <t xml:space="preserve">Laff w Dawaran</t>
  </si>
  <si>
    <t xml:space="preserve">هيبتا</t>
  </si>
  <si>
    <t xml:space="preserve">Hepta</t>
  </si>
  <si>
    <t xml:space="preserve">عمرو يوسف</t>
  </si>
  <si>
    <t xml:space="preserve">الأصليين</t>
  </si>
  <si>
    <t xml:space="preserve">El Asleyeen</t>
  </si>
  <si>
    <t xml:space="preserve">ماجد الكدواني</t>
  </si>
  <si>
    <t xml:space="preserve">الخلية</t>
  </si>
  <si>
    <t xml:space="preserve">El Khaleya</t>
  </si>
  <si>
    <t xml:space="preserve">هروب اضطراري</t>
  </si>
  <si>
    <t xml:space="preserve">Horoub Edterary</t>
  </si>
  <si>
    <t xml:space="preserve">البدلة</t>
  </si>
  <si>
    <t xml:space="preserve">El Badla</t>
  </si>
  <si>
    <t xml:space="preserve">تراب الماس</t>
  </si>
  <si>
    <t xml:space="preserve">Torab El Mas</t>
  </si>
  <si>
    <t xml:space="preserve">آسر ياسين</t>
  </si>
  <si>
    <t xml:space="preserve">طه</t>
  </si>
  <si>
    <t xml:space="preserve">ديزل</t>
  </si>
  <si>
    <t xml:space="preserve">Diesel</t>
  </si>
  <si>
    <t xml:space="preserve">يوم الدين</t>
  </si>
  <si>
    <t xml:space="preserve">Youm El Din</t>
  </si>
  <si>
    <t xml:space="preserve">راضي جمال</t>
  </si>
  <si>
    <t xml:space="preserve">بشاي</t>
  </si>
  <si>
    <t xml:space="preserve">الفيل الأزرق 2</t>
  </si>
  <si>
    <t xml:space="preserve">El Feel El Azra2 2</t>
  </si>
  <si>
    <t xml:space="preserve">الممر</t>
  </si>
  <si>
    <t xml:space="preserve">El Mamar</t>
  </si>
  <si>
    <t xml:space="preserve">خيال مآتة</t>
  </si>
  <si>
    <t xml:space="preserve">Khayal Ma2ata</t>
  </si>
  <si>
    <t xml:space="preserve">كازابلانكا</t>
  </si>
  <si>
    <t xml:space="preserve">Casablanca</t>
  </si>
  <si>
    <t xml:space="preserve">أمير كرارة</t>
  </si>
  <si>
    <t xml:space="preserve">نادي الرجال السري</t>
  </si>
  <si>
    <t xml:space="preserve">Nady El Regala El Serry</t>
  </si>
  <si>
    <t xml:space="preserve">لص بغداد</t>
  </si>
  <si>
    <t xml:space="preserve">Less Baghdad</t>
  </si>
  <si>
    <t xml:space="preserve">مش أنا</t>
  </si>
  <si>
    <t xml:space="preserve">Mesh Ana</t>
  </si>
  <si>
    <t xml:space="preserve">بحبك</t>
  </si>
  <si>
    <t xml:space="preserve">Ba7ebbak</t>
  </si>
  <si>
    <t xml:space="preserve">كيرة والجن</t>
  </si>
  <si>
    <t xml:space="preserve">Kira wel Gen</t>
  </si>
  <si>
    <t xml:space="preserve">كيرة</t>
  </si>
  <si>
    <t xml:space="preserve">واحد تاني</t>
  </si>
  <si>
    <t xml:space="preserve">Wa7ed Tany</t>
  </si>
  <si>
    <t xml:space="preserve">بيت الروبي</t>
  </si>
  <si>
    <t xml:space="preserve">Beit El Roby</t>
  </si>
  <si>
    <t xml:space="preserve">الحريفة</t>
  </si>
  <si>
    <t xml:space="preserve">El 7errifa</t>
  </si>
  <si>
    <t xml:space="preserve">نور النبوي</t>
  </si>
  <si>
    <t xml:space="preserve">السرب</t>
  </si>
  <si>
    <t xml:space="preserve">El Serb</t>
  </si>
  <si>
    <t xml:space="preserve">شقو</t>
  </si>
  <si>
    <t xml:space="preserve">Sha2o</t>
  </si>
  <si>
    <t xml:space="preserve">دموع في عيون وقحة</t>
  </si>
  <si>
    <t xml:space="preserve">Domou3 fi 3oyoun Wa2e7a</t>
  </si>
  <si>
    <t xml:space="preserve">Mosalsal</t>
  </si>
  <si>
    <t xml:space="preserve">جمعة الشوان</t>
  </si>
  <si>
    <t xml:space="preserve">الشهد والدموع</t>
  </si>
  <si>
    <t xml:space="preserve">El Shahd wel Domou3</t>
  </si>
  <si>
    <t xml:space="preserve">يوسف شعبان</t>
  </si>
  <si>
    <t xml:space="preserve">رحلة السيد أبو العلا البشري</t>
  </si>
  <si>
    <t xml:space="preserve">Re7let El Sayed Abo El 3ela El Beshry</t>
  </si>
  <si>
    <t xml:space="preserve">محمود مرسي</t>
  </si>
  <si>
    <t xml:space="preserve">أبو العلا البشري</t>
  </si>
  <si>
    <t xml:space="preserve">ليالي الحلمية</t>
  </si>
  <si>
    <t xml:space="preserve">Layaly El 7elmeya</t>
  </si>
  <si>
    <t xml:space="preserve">يحيى الفخراني</t>
  </si>
  <si>
    <t xml:space="preserve">سليم البدري</t>
  </si>
  <si>
    <t xml:space="preserve">رأفت الهجان</t>
  </si>
  <si>
    <t xml:space="preserve">Ra2fat El Haggan</t>
  </si>
  <si>
    <t xml:space="preserve">المال والبنون</t>
  </si>
  <si>
    <t xml:space="preserve">El Mal wel Banoun</t>
  </si>
  <si>
    <t xml:space="preserve">بوابة الحلواني</t>
  </si>
  <si>
    <t xml:space="preserve">Bawabet El 7alawany</t>
  </si>
  <si>
    <t xml:space="preserve">علي الحجار</t>
  </si>
  <si>
    <t xml:space="preserve">ذئاب الجبل</t>
  </si>
  <si>
    <t xml:space="preserve">Zeyab El Gabal</t>
  </si>
  <si>
    <t xml:space="preserve">أحمد عبد العزيز</t>
  </si>
  <si>
    <t xml:space="preserve">أرابيسك</t>
  </si>
  <si>
    <t xml:space="preserve">Arabesque</t>
  </si>
  <si>
    <t xml:space="preserve">صلاح السعدني</t>
  </si>
  <si>
    <t xml:space="preserve">حسن أرابيسك</t>
  </si>
  <si>
    <t xml:space="preserve">الوتد</t>
  </si>
  <si>
    <t xml:space="preserve">El Watad</t>
  </si>
  <si>
    <t xml:space="preserve">هدى سلطان</t>
  </si>
  <si>
    <t xml:space="preserve">فاطمة تعلبة</t>
  </si>
  <si>
    <t xml:space="preserve">لن أعيش في جلباب أبي</t>
  </si>
  <si>
    <t xml:space="preserve">Lan A3eesh fi Galabeyet Abi</t>
  </si>
  <si>
    <t xml:space="preserve">عبد الغفور البرعي</t>
  </si>
  <si>
    <t xml:space="preserve">زيزينيا</t>
  </si>
  <si>
    <t xml:space="preserve">Zizinia</t>
  </si>
  <si>
    <t xml:space="preserve">بشر عامر عبد الظاهر</t>
  </si>
  <si>
    <t xml:space="preserve">الضوء الشارد</t>
  </si>
  <si>
    <t xml:space="preserve">El Do2 El Shared</t>
  </si>
  <si>
    <t xml:space="preserve">ممدوح عبد العليم</t>
  </si>
  <si>
    <t xml:space="preserve">رفيع بيه</t>
  </si>
  <si>
    <t xml:space="preserve">أم كلثوم</t>
  </si>
  <si>
    <t xml:space="preserve">Om Kalthoum</t>
  </si>
  <si>
    <t xml:space="preserve">صابرين</t>
  </si>
  <si>
    <t xml:space="preserve">سابع جار</t>
  </si>
  <si>
    <t xml:space="preserve">Sabe3 Gar</t>
  </si>
  <si>
    <t xml:space="preserve">دلال عبد العزيز</t>
  </si>
  <si>
    <t xml:space="preserve">ليه لأ</t>
  </si>
  <si>
    <t xml:space="preserve">Leh La2</t>
  </si>
  <si>
    <t xml:space="preserve">أمينة خليل</t>
  </si>
  <si>
    <t xml:space="preserve">ما وراء الطبيعة</t>
  </si>
  <si>
    <t xml:space="preserve">Ma Wara2 El Tabe3a</t>
  </si>
  <si>
    <t xml:space="preserve">أحمد أمين</t>
  </si>
  <si>
    <t xml:space="preserve">رفعت إسماعيل</t>
  </si>
  <si>
    <t xml:space="preserve">البيت بيتي</t>
  </si>
  <si>
    <t xml:space="preserve">El Beit Beity</t>
  </si>
  <si>
    <t xml:space="preserve">كريم محمود عبد العزيز</t>
  </si>
  <si>
    <t xml:space="preserve">الهرشة السابعة</t>
  </si>
  <si>
    <t xml:space="preserve">El Harsha El Sab3a</t>
  </si>
  <si>
    <t xml:space="preserve">محمد شاهين</t>
  </si>
  <si>
    <t xml:space="preserve">بالطو</t>
  </si>
  <si>
    <t xml:space="preserve">Balto</t>
  </si>
  <si>
    <t xml:space="preserve">عصام عمر</t>
  </si>
  <si>
    <t xml:space="preserve">العطار والسبع بنات</t>
  </si>
  <si>
    <t xml:space="preserve">El 3attar wel Sab3 Banat</t>
  </si>
  <si>
    <t xml:space="preserve">Ramadan</t>
  </si>
  <si>
    <t xml:space="preserve">عائلة الحاج متولي</t>
  </si>
  <si>
    <t xml:space="preserve">3a2elet El 7ag Metwally</t>
  </si>
  <si>
    <t xml:space="preserve">الحاج متولي</t>
  </si>
  <si>
    <t xml:space="preserve">الملك فاروق</t>
  </si>
  <si>
    <t xml:space="preserve">El Malek Farouk</t>
  </si>
  <si>
    <t xml:space="preserve">تيم حسن</t>
  </si>
  <si>
    <t xml:space="preserve">يتربى في عزو</t>
  </si>
  <si>
    <t xml:space="preserve">Yetraba fi 3ezzo</t>
  </si>
  <si>
    <t xml:space="preserve">حمادة عزو</t>
  </si>
  <si>
    <t xml:space="preserve">الجماعة</t>
  </si>
  <si>
    <t xml:space="preserve">El Gama3a</t>
  </si>
  <si>
    <t xml:space="preserve">إياد نصار</t>
  </si>
  <si>
    <t xml:space="preserve">حسن البنا</t>
  </si>
  <si>
    <t xml:space="preserve">الكبير أوي</t>
  </si>
  <si>
    <t xml:space="preserve">El Kebir Awy</t>
  </si>
  <si>
    <t xml:space="preserve">الكبير</t>
  </si>
  <si>
    <t xml:space="preserve">شيخ العرب همام</t>
  </si>
  <si>
    <t xml:space="preserve">Sheikh El 3arab Hammam</t>
  </si>
  <si>
    <t xml:space="preserve">الخواجة عبد القادر</t>
  </si>
  <si>
    <t xml:space="preserve">El Khawaga 3abd El 2ader</t>
  </si>
  <si>
    <t xml:space="preserve">عبد القادر</t>
  </si>
  <si>
    <t xml:space="preserve">شربات لوز</t>
  </si>
  <si>
    <t xml:space="preserve">Sharbat Louz</t>
  </si>
  <si>
    <t xml:space="preserve">شربات</t>
  </si>
  <si>
    <t xml:space="preserve">فرقة ناجي عطا الله</t>
  </si>
  <si>
    <t xml:space="preserve">Fer2et Nagy 3ata Allah</t>
  </si>
  <si>
    <t xml:space="preserve">ناجي عطا الله</t>
  </si>
  <si>
    <t xml:space="preserve">العراف</t>
  </si>
  <si>
    <t xml:space="preserve">El 3arraf</t>
  </si>
  <si>
    <t xml:space="preserve">ذات</t>
  </si>
  <si>
    <t xml:space="preserve">Zat</t>
  </si>
  <si>
    <t xml:space="preserve">دهشة</t>
  </si>
  <si>
    <t xml:space="preserve">Dahsha</t>
  </si>
  <si>
    <t xml:space="preserve">سجن النسا</t>
  </si>
  <si>
    <t xml:space="preserve">Segn El Nesa</t>
  </si>
  <si>
    <t xml:space="preserve">غالية</t>
  </si>
  <si>
    <t xml:space="preserve">صاحب السعادة</t>
  </si>
  <si>
    <t xml:space="preserve">Sa7eb El Sa3ada</t>
  </si>
  <si>
    <t xml:space="preserve">تحت السيطرة</t>
  </si>
  <si>
    <t xml:space="preserve">Ta7t El Saytara</t>
  </si>
  <si>
    <t xml:space="preserve">حارة اليهود</t>
  </si>
  <si>
    <t xml:space="preserve">7aret El Yahoud</t>
  </si>
  <si>
    <t xml:space="preserve">منة شلبي</t>
  </si>
  <si>
    <t xml:space="preserve">الأسطورة</t>
  </si>
  <si>
    <t xml:space="preserve">El Ostoura</t>
  </si>
  <si>
    <t xml:space="preserve">ناصر الدسوقي</t>
  </si>
  <si>
    <t xml:space="preserve">مأمون وشركاه</t>
  </si>
  <si>
    <t xml:space="preserve">Ma2moun w Shoraka2o</t>
  </si>
  <si>
    <t xml:space="preserve">مأمون</t>
  </si>
  <si>
    <t xml:space="preserve">ونوس</t>
  </si>
  <si>
    <t xml:space="preserve">Wannous</t>
  </si>
  <si>
    <t xml:space="preserve">يونس ولد فضة</t>
  </si>
  <si>
    <t xml:space="preserve">Younes Walad Fedda</t>
  </si>
  <si>
    <t xml:space="preserve">يونس</t>
  </si>
  <si>
    <t xml:space="preserve">الأب الروحي</t>
  </si>
  <si>
    <t xml:space="preserve">El Ab El Rou7y</t>
  </si>
  <si>
    <t xml:space="preserve">عفاريت عدلي علام</t>
  </si>
  <si>
    <t xml:space="preserve">3afareet 3adly 3allam</t>
  </si>
  <si>
    <t xml:space="preserve">عدلي علام</t>
  </si>
  <si>
    <t xml:space="preserve">كلبش</t>
  </si>
  <si>
    <t xml:space="preserve">Kalabsh</t>
  </si>
  <si>
    <t xml:space="preserve">سليم الأنصاري</t>
  </si>
  <si>
    <t xml:space="preserve">الوصية</t>
  </si>
  <si>
    <t xml:space="preserve">El Wasseya</t>
  </si>
  <si>
    <t xml:space="preserve">أكرم حسني</t>
  </si>
  <si>
    <t xml:space="preserve">بالحجم العائلي</t>
  </si>
  <si>
    <t xml:space="preserve">Bel 7agm El 3a2ely</t>
  </si>
  <si>
    <t xml:space="preserve">طايع</t>
  </si>
  <si>
    <t xml:space="preserve">Taye3</t>
  </si>
  <si>
    <t xml:space="preserve">عوالم خفية</t>
  </si>
  <si>
    <t xml:space="preserve">3awalem Khafeya</t>
  </si>
  <si>
    <t xml:space="preserve">نسر الصعيد</t>
  </si>
  <si>
    <t xml:space="preserve">Nesr El Se3eed</t>
  </si>
  <si>
    <t xml:space="preserve">زين القناوي</t>
  </si>
  <si>
    <t xml:space="preserve">الواد سيد الشحات</t>
  </si>
  <si>
    <t xml:space="preserve">El Wad Sayed El Sha77at</t>
  </si>
  <si>
    <t xml:space="preserve">سيد الشحات</t>
  </si>
  <si>
    <t xml:space="preserve">الاختيار</t>
  </si>
  <si>
    <t xml:space="preserve">El Ekhteyar</t>
  </si>
  <si>
    <t xml:space="preserve">أحمد المنسي</t>
  </si>
  <si>
    <t xml:space="preserve">البرنس</t>
  </si>
  <si>
    <t xml:space="preserve">El Prince</t>
  </si>
  <si>
    <t xml:space="preserve">رضوان</t>
  </si>
  <si>
    <t xml:space="preserve">اللعبة</t>
  </si>
  <si>
    <t xml:space="preserve">El Le3ba</t>
  </si>
  <si>
    <t xml:space="preserve">النهاية</t>
  </si>
  <si>
    <t xml:space="preserve">El Nehaya</t>
  </si>
  <si>
    <t xml:space="preserve">يوسف الشريف</t>
  </si>
  <si>
    <t xml:space="preserve">بـ100 وش</t>
  </si>
  <si>
    <t xml:space="preserve">Be Meet Wesh</t>
  </si>
  <si>
    <t xml:space="preserve">فلانتينو</t>
  </si>
  <si>
    <t xml:space="preserve">Valentino</t>
  </si>
  <si>
    <t xml:space="preserve">المداح</t>
  </si>
  <si>
    <t xml:space="preserve">El Madda7</t>
  </si>
  <si>
    <t xml:space="preserve">حمادة هلال</t>
  </si>
  <si>
    <t xml:space="preserve">صابر المداح</t>
  </si>
  <si>
    <t xml:space="preserve">لعبة نيوتن</t>
  </si>
  <si>
    <t xml:space="preserve">Le3bet Newton</t>
  </si>
  <si>
    <t xml:space="preserve">هنا</t>
  </si>
  <si>
    <t xml:space="preserve">موسى</t>
  </si>
  <si>
    <t xml:space="preserve">Mousa</t>
  </si>
  <si>
    <t xml:space="preserve">جزيرة غمام</t>
  </si>
  <si>
    <t xml:space="preserve">Gezeret Ghamam</t>
  </si>
  <si>
    <t xml:space="preserve">جعفر العمدة</t>
  </si>
  <si>
    <t xml:space="preserve">Ga3far El 3omda</t>
  </si>
  <si>
    <t xml:space="preserve">رسالة الإمام</t>
  </si>
  <si>
    <t xml:space="preserve">Resalet El Emam</t>
  </si>
  <si>
    <t xml:space="preserve">الإمام الشافعي</t>
  </si>
  <si>
    <t xml:space="preserve">سره الباتع</t>
  </si>
  <si>
    <t xml:space="preserve">Serroh El Bate3</t>
  </si>
  <si>
    <t xml:space="preserve">أحمد السعدني</t>
  </si>
  <si>
    <t xml:space="preserve">ضرب نار</t>
  </si>
  <si>
    <t xml:space="preserve">Darb Nar</t>
  </si>
  <si>
    <t xml:space="preserve">أحمد العوضي</t>
  </si>
  <si>
    <t xml:space="preserve">أعلى نسبة مشاهدة</t>
  </si>
  <si>
    <t xml:space="preserve">A3la Nesbet Moshahda</t>
  </si>
  <si>
    <t xml:space="preserve">سلمى أبو ضيف</t>
  </si>
  <si>
    <t xml:space="preserve">الحشاشين</t>
  </si>
  <si>
    <t xml:space="preserve">El 7ashasheen</t>
  </si>
  <si>
    <t xml:space="preserve">حسن الصباح</t>
  </si>
  <si>
    <t xml:space="preserve">العتاولة</t>
  </si>
  <si>
    <t xml:space="preserve">El 3atawla</t>
  </si>
  <si>
    <t xml:space="preserve">نعمة الأفوكاتو</t>
  </si>
  <si>
    <t xml:space="preserve">Ne3ma El Avocato</t>
  </si>
  <si>
    <t xml:space="preserve">مي عمر</t>
  </si>
  <si>
    <t xml:space="preserve">يوميات ونيس</t>
  </si>
  <si>
    <t xml:space="preserve">Yawmeyat Wannees</t>
  </si>
  <si>
    <t xml:space="preserve">Sitcom</t>
  </si>
  <si>
    <t xml:space="preserve">محمد صبحي</t>
  </si>
  <si>
    <t xml:space="preserve">ونيس</t>
  </si>
  <si>
    <t xml:space="preserve">تامر وشوقية</t>
  </si>
  <si>
    <t xml:space="preserve">Tamer w Shawqeya</t>
  </si>
  <si>
    <t xml:space="preserve">تامر</t>
  </si>
  <si>
    <t xml:space="preserve">راجل وست ستات</t>
  </si>
  <si>
    <t xml:space="preserve">Ragel w Set Settat</t>
  </si>
  <si>
    <t xml:space="preserve">أشرف عبد الباقي</t>
  </si>
  <si>
    <t xml:space="preserve">عادل</t>
  </si>
  <si>
    <t xml:space="preserve">أنا وهو وهي</t>
  </si>
  <si>
    <t xml:space="preserve">Ana w Howa w Heya</t>
  </si>
  <si>
    <t xml:space="preserve">Masra7eya</t>
  </si>
  <si>
    <t xml:space="preserve">سيدتي الجميلة</t>
  </si>
  <si>
    <t xml:space="preserve">Sayedaty El Gameela</t>
  </si>
  <si>
    <t xml:space="preserve">مدرسة المشاغبين</t>
  </si>
  <si>
    <t xml:space="preserve">Madraset El Moshaghbeen</t>
  </si>
  <si>
    <t xml:space="preserve">بهجت الأباصيري</t>
  </si>
  <si>
    <t xml:space="preserve">مرسي الزناتي اتهزم يا رجالة</t>
  </si>
  <si>
    <t xml:space="preserve">انتهى الدرس يا غبي</t>
  </si>
  <si>
    <t xml:space="preserve">Entaha El Dars Ya Ghaby</t>
  </si>
  <si>
    <t xml:space="preserve">شاهد ما شافش حاجة</t>
  </si>
  <si>
    <t xml:space="preserve">Shahed Mashafsh 7aga</t>
  </si>
  <si>
    <t xml:space="preserve">سرحان عبد البصير</t>
  </si>
  <si>
    <t xml:space="preserve">المتزوجون</t>
  </si>
  <si>
    <t xml:space="preserve">El Motazawegoun</t>
  </si>
  <si>
    <t xml:space="preserve">سمير غانم</t>
  </si>
  <si>
    <t xml:space="preserve">إنها حقاً عائلة محترمة</t>
  </si>
  <si>
    <t xml:space="preserve">Enaha 7a2an 3a2ela Mo7tarama</t>
  </si>
  <si>
    <t xml:space="preserve">العيال كبرت</t>
  </si>
  <si>
    <t xml:space="preserve">El 3eyal Kebret</t>
  </si>
  <si>
    <t xml:space="preserve">سعيد صالح</t>
  </si>
  <si>
    <t xml:space="preserve">سلطان</t>
  </si>
  <si>
    <t xml:space="preserve">سك على بناتك</t>
  </si>
  <si>
    <t xml:space="preserve">Sok 3ala Banatak</t>
  </si>
  <si>
    <t xml:space="preserve">أهلاً يا دكتور</t>
  </si>
  <si>
    <t xml:space="preserve">Ahlan Ya Doctor</t>
  </si>
  <si>
    <t xml:space="preserve">ريا وسكينة</t>
  </si>
  <si>
    <t xml:space="preserve">Raya w Sakina</t>
  </si>
  <si>
    <t xml:space="preserve">ريا</t>
  </si>
  <si>
    <t xml:space="preserve">الهمجي</t>
  </si>
  <si>
    <t xml:space="preserve">El Hamagy</t>
  </si>
  <si>
    <t xml:space="preserve">الواد سيد الشغال</t>
  </si>
  <si>
    <t xml:space="preserve">El Wad Sayed El Shaghal</t>
  </si>
  <si>
    <t xml:space="preserve">ع الرصيف</t>
  </si>
  <si>
    <t xml:space="preserve">3al Raseef</t>
  </si>
  <si>
    <t xml:space="preserve">سهير البابلي</t>
  </si>
  <si>
    <t xml:space="preserve">فارس وبني خيبان</t>
  </si>
  <si>
    <t xml:space="preserve">Fares w Bani Khayban</t>
  </si>
  <si>
    <t xml:space="preserve">وجهة نظر</t>
  </si>
  <si>
    <t xml:space="preserve">Weghet Nazar</t>
  </si>
  <si>
    <t xml:space="preserve">الزعيم</t>
  </si>
  <si>
    <t xml:space="preserve">El Za3eem</t>
  </si>
  <si>
    <t xml:space="preserve">زينهم</t>
  </si>
  <si>
    <t xml:space="preserve">بودي جارد</t>
  </si>
  <si>
    <t xml:space="preserve">Bodyguard</t>
  </si>
  <si>
    <t xml:space="preserve">الملك لير</t>
  </si>
  <si>
    <t xml:space="preserve">El Malek Lear</t>
  </si>
  <si>
    <t xml:space="preserve">تياترو مصر</t>
  </si>
  <si>
    <t xml:space="preserve">Tiatro Masr</t>
  </si>
  <si>
    <t xml:space="preserve">Malakhas el 3anaween</t>
  </si>
  <si>
    <t xml:space="preserve">El no3 \ El zaman</t>
  </si>
  <si>
    <t xml:space="preserve">Abyad w eswed</t>
  </si>
  <si>
    <t xml:space="preserve">70s-90s</t>
  </si>
  <si>
    <t xml:space="preserve">2000s</t>
  </si>
  <si>
    <t xml:space="preserve">Gedeed</t>
  </si>
  <si>
    <t xml:space="preserve">El magmou3</t>
  </si>
  <si>
    <t xml:space="preserve">Tamam</t>
  </si>
  <si>
    <t xml:space="preserve">Shilo</t>
  </si>
  <si>
    <t xml:space="preserve">Mosa3dat na2sa</t>
  </si>
  <si>
    <t xml:space="preserve">Men gher esm sha5seya</t>
  </si>
  <si>
    <t xml:space="preserve">Men gher efeh mashhoora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</si>
</sst>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1410"/>
      <name val="Arial"/>
      <family val="0"/>
      <charset val="1"/>
    </font>
    <font>
      <b val="true"/>
      <sz val="11"/>
      <color rgb="FF1F1410"/>
      <name val="Arial"/>
      <family val="0"/>
      <charset val="1"/>
    </font>
    <font>
      <sz val="11"/>
      <color rgb="FF1F1410"/>
      <name val="Arial"/>
      <family val="0"/>
      <charset val="1"/>
    </font>
    <font>
      <b val="true"/>
      <sz val="11"/>
      <color rgb="FFF6E7C8"/>
      <name val="Arial"/>
      <family val="0"/>
      <charset val="1"/>
    </font>
    <font>
      <b val="true"/>
      <sz val="12"/>
      <color rgb="FF1F14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8EA"/>
        <bgColor rgb="FFF6E7C8"/>
      </patternFill>
    </fill>
    <fill>
      <patternFill patternType="solid">
        <fgColor rgb="FFEDE3CF"/>
        <bgColor rgb="FFF6E7C8"/>
      </patternFill>
    </fill>
    <fill>
      <patternFill patternType="solid">
        <fgColor rgb="FF1F1410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DBF9F"/>
      </left>
      <right style="thin">
        <color rgb="FFCDBF9F"/>
      </right>
      <top style="thin">
        <color rgb="FFCDBF9F"/>
      </top>
      <bottom style="thin">
        <color rgb="FFCDBF9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1410"/>
          <bgColor rgb="FF000000"/>
        </patternFill>
      </fill>
    </dxf>
    <dxf>
      <fill>
        <patternFill patternType="solid">
          <fgColor rgb="FFEDE3CF"/>
          <bgColor rgb="FF000000"/>
        </patternFill>
      </fill>
    </dxf>
    <dxf>
      <fill>
        <patternFill patternType="solid">
          <fgColor rgb="FFF6E7C8"/>
          <bgColor rgb="FF000000"/>
        </patternFill>
      </fill>
    </dxf>
    <dxf>
      <fill>
        <patternFill patternType="solid">
          <fgColor rgb="FFFFF8EA"/>
          <bgColor rgb="FF000000"/>
        </patternFill>
      </fill>
    </dxf>
    <dxf>
      <fill>
        <patternFill patternType="solid">
          <fgColor rgb="FFF3B62E"/>
          <bgColor rgb="FF000000"/>
        </patternFill>
      </fill>
    </dxf>
    <dxf>
      <font>
        <name val="Arial"/>
        <charset val="1"/>
        <family val="0"/>
        <b val="1"/>
        <color rgb="FF1F1410"/>
      </font>
      <fill>
        <patternFill>
          <bgColor rgb="FFF3B62E"/>
        </patternFill>
      </fill>
    </dxf>
    <dxf>
      <fill>
        <patternFill>
          <bgColor rgb="FFC9DDB7"/>
        </patternFill>
      </fill>
    </dxf>
    <dxf>
      <fill>
        <patternFill>
          <bgColor rgb="FFE9B5AC"/>
        </patternFill>
      </fill>
    </dxf>
  </dxfs>
  <colors>
    <indexedColors>
      <rgbColor rgb="FF000000"/>
      <rgbColor rgb="FFFFF8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DBF9F"/>
      <rgbColor rgb="FF808080"/>
      <rgbColor rgb="FF9999FF"/>
      <rgbColor rgb="FF993366"/>
      <rgbColor rgb="FFF6E7C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9DDB7"/>
      <rgbColor rgb="FFEDE3CF"/>
      <rgbColor rgb="FF99CCFF"/>
      <rgbColor rgb="FFFF99CC"/>
      <rgbColor rgb="FFCC99FF"/>
      <rgbColor rgb="FFE9B5AC"/>
      <rgbColor rgb="FF3366FF"/>
      <rgbColor rgb="FF33CCCC"/>
      <rgbColor rgb="FF99CC00"/>
      <rgbColor rgb="FFF3B62E"/>
      <rgbColor rgb="FFFF9900"/>
      <rgbColor rgb="FFFF6600"/>
      <rgbColor rgb="FF666699"/>
      <rgbColor rgb="FF969696"/>
      <rgbColor rgb="FF003366"/>
      <rgbColor rgb="FF339966"/>
      <rgbColor rgb="FF003300"/>
      <rgbColor rgb="FF1F141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3" t="s">
        <v>1</v>
      </c>
      <c r="B3" s="4" t="s">
        <v>2</v>
      </c>
    </row>
    <row r="4" customFormat="false" ht="26.85" hidden="false" customHeight="false" outlineLevel="0" collapsed="false">
      <c r="A4" s="5" t="s">
        <v>3</v>
      </c>
      <c r="B4" s="4" t="s">
        <v>4</v>
      </c>
    </row>
    <row r="5" customFormat="false" ht="26.85" hidden="false" customHeight="false" outlineLevel="0" collapsed="false">
      <c r="A5" s="2" t="s">
        <v>5</v>
      </c>
      <c r="B5" s="4" t="s">
        <v>6</v>
      </c>
    </row>
    <row r="6" customFormat="false" ht="15" hidden="false" customHeight="false" outlineLevel="0" collapsed="false">
      <c r="A6" s="2" t="s">
        <v>7</v>
      </c>
      <c r="B6" s="4" t="s">
        <v>8</v>
      </c>
    </row>
    <row r="7" customFormat="false" ht="26.85" hidden="false" customHeight="false" outlineLevel="0" collapsed="false">
      <c r="A7" s="2" t="s">
        <v>9</v>
      </c>
      <c r="B7" s="4" t="s">
        <v>10</v>
      </c>
    </row>
    <row r="8" customFormat="false" ht="26.85" hidden="false" customHeight="false" outlineLevel="0" collapsed="false">
      <c r="A8" s="2" t="s">
        <v>11</v>
      </c>
      <c r="B8" s="4" t="s">
        <v>12</v>
      </c>
    </row>
    <row r="9" customFormat="false" ht="26.85" hidden="false" customHeight="false" outlineLevel="0" collapsed="false">
      <c r="A9" s="2" t="s">
        <v>13</v>
      </c>
      <c r="B9" s="4" t="s">
        <v>14</v>
      </c>
    </row>
    <row r="10" customFormat="false" ht="26.85" hidden="false" customHeight="false" outlineLevel="0" collapsed="false">
      <c r="A10" s="2" t="s">
        <v>15</v>
      </c>
      <c r="B10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22"/>
    <col collapsed="false" customWidth="true" hidden="false" outlineLevel="0" max="11" min="11" style="0" width="36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1"/>
  </cols>
  <sheetData>
    <row r="1" customFormat="false" ht="30" hidden="false" customHeight="true" outlineLevel="0" collapsed="false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5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7</v>
      </c>
      <c r="M1" s="6" t="s">
        <v>27</v>
      </c>
      <c r="N1" s="6" t="s">
        <v>9</v>
      </c>
    </row>
    <row r="2" customFormat="false" ht="15" hidden="false" customHeight="false" outlineLevel="0" collapsed="false">
      <c r="A2" s="7" t="n">
        <v>1</v>
      </c>
      <c r="B2" s="8" t="s">
        <v>28</v>
      </c>
      <c r="C2" s="9" t="s">
        <v>29</v>
      </c>
      <c r="D2" s="10" t="s">
        <v>30</v>
      </c>
      <c r="E2" s="10" t="n">
        <v>1937</v>
      </c>
      <c r="F2" s="7" t="str">
        <f aca="false">IF(E2="","",IF(E2&lt;1970,"Abyad w eswed",IF(E2&lt;2000,"70s-90s",IF(E2&lt;2015,"2000s","Gedeed"))))</f>
        <v>Abyad w eswed</v>
      </c>
      <c r="G2" s="10" t="s">
        <v>31</v>
      </c>
      <c r="H2" s="9" t="s">
        <v>32</v>
      </c>
      <c r="I2" s="11" t="s">
        <v>33</v>
      </c>
      <c r="J2" s="11" t="s">
        <v>34</v>
      </c>
      <c r="K2" s="11"/>
      <c r="L2" s="12" t="str">
        <f aca="false">IF(B2="","",IF(LEFT(TRIM(B2),2)="ال",MID(TRIM(B2),3,1),LEFT(TRIM(B2),1)))</f>
        <v>س</v>
      </c>
      <c r="M2" s="7" t="n">
        <f aca="false">IF(B2="","",LEN(TRIM(B2))-LEN(SUBSTITUTE(TRIM(B2)," ",""))+1)</f>
        <v>3</v>
      </c>
      <c r="N2" s="10" t="s">
        <v>35</v>
      </c>
    </row>
    <row r="3" customFormat="false" ht="15" hidden="false" customHeight="false" outlineLevel="0" collapsed="false">
      <c r="A3" s="7" t="n">
        <v>2</v>
      </c>
      <c r="B3" s="8" t="s">
        <v>36</v>
      </c>
      <c r="C3" s="9" t="s">
        <v>37</v>
      </c>
      <c r="D3" s="10" t="s">
        <v>30</v>
      </c>
      <c r="E3" s="10" t="n">
        <v>1946</v>
      </c>
      <c r="F3" s="7" t="str">
        <f aca="false">IF(E3="","",IF(E3&lt;1970,"Abyad w eswed",IF(E3&lt;2000,"70s-90s",IF(E3&lt;2015,"2000s","Gedeed"))))</f>
        <v>Abyad w eswed</v>
      </c>
      <c r="G3" s="10" t="s">
        <v>31</v>
      </c>
      <c r="H3" s="9" t="s">
        <v>32</v>
      </c>
      <c r="I3" s="11" t="s">
        <v>33</v>
      </c>
      <c r="J3" s="11"/>
      <c r="K3" s="11"/>
      <c r="L3" s="12" t="str">
        <f aca="false">IF(B3="","",IF(LEFT(TRIM(B3),2)="ال",MID(TRIM(B3),3,1),LEFT(TRIM(B3),1)))</f>
        <v>ل</v>
      </c>
      <c r="M3" s="7" t="n">
        <f aca="false">IF(B3="","",LEN(TRIM(B3))-LEN(SUBSTITUTE(TRIM(B3)," ",""))+1)</f>
        <v>2</v>
      </c>
      <c r="N3" s="10" t="s">
        <v>35</v>
      </c>
    </row>
    <row r="4" customFormat="false" ht="15" hidden="false" customHeight="false" outlineLevel="0" collapsed="false">
      <c r="A4" s="7" t="n">
        <v>3</v>
      </c>
      <c r="B4" s="8" t="s">
        <v>38</v>
      </c>
      <c r="C4" s="9" t="s">
        <v>39</v>
      </c>
      <c r="D4" s="10" t="s">
        <v>30</v>
      </c>
      <c r="E4" s="10" t="n">
        <v>1949</v>
      </c>
      <c r="F4" s="7" t="str">
        <f aca="false">IF(E4="","",IF(E4&lt;1970,"Abyad w eswed",IF(E4&lt;2000,"70s-90s",IF(E4&lt;2015,"2000s","Gedeed"))))</f>
        <v>Abyad w eswed</v>
      </c>
      <c r="G4" s="10" t="s">
        <v>31</v>
      </c>
      <c r="H4" s="9" t="s">
        <v>40</v>
      </c>
      <c r="I4" s="11" t="s">
        <v>41</v>
      </c>
      <c r="J4" s="11"/>
      <c r="K4" s="11"/>
      <c r="L4" s="12" t="str">
        <f aca="false">IF(B4="","",IF(LEFT(TRIM(B4),2)="ال",MID(TRIM(B4),3,1),LEFT(TRIM(B4),1)))</f>
        <v>ع</v>
      </c>
      <c r="M4" s="7" t="n">
        <f aca="false">IF(B4="","",LEN(TRIM(B4))-LEN(SUBSTITUTE(TRIM(B4)," ",""))+1)</f>
        <v>2</v>
      </c>
      <c r="N4" s="10" t="s">
        <v>42</v>
      </c>
    </row>
    <row r="5" customFormat="false" ht="15" hidden="false" customHeight="false" outlineLevel="0" collapsed="false">
      <c r="A5" s="7" t="n">
        <v>4</v>
      </c>
      <c r="B5" s="8" t="s">
        <v>43</v>
      </c>
      <c r="C5" s="9" t="s">
        <v>44</v>
      </c>
      <c r="D5" s="10" t="s">
        <v>30</v>
      </c>
      <c r="E5" s="10" t="n">
        <v>1949</v>
      </c>
      <c r="F5" s="7" t="str">
        <f aca="false">IF(E5="","",IF(E5&lt;1970,"Abyad w eswed",IF(E5&lt;2000,"70s-90s",IF(E5&lt;2015,"2000s","Gedeed"))))</f>
        <v>Abyad w eswed</v>
      </c>
      <c r="G5" s="10" t="s">
        <v>45</v>
      </c>
      <c r="H5" s="9" t="s">
        <v>32</v>
      </c>
      <c r="I5" s="11" t="s">
        <v>33</v>
      </c>
      <c r="J5" s="11" t="s">
        <v>46</v>
      </c>
      <c r="K5" s="11"/>
      <c r="L5" s="12" t="str">
        <f aca="false">IF(B5="","",IF(LEFT(TRIM(B5),2)="ال",MID(TRIM(B5),3,1),LEFT(TRIM(B5),1)))</f>
        <v>غ</v>
      </c>
      <c r="M5" s="7" t="n">
        <f aca="false">IF(B5="","",LEN(TRIM(B5))-LEN(SUBSTITUTE(TRIM(B5)," ",""))+1)</f>
        <v>2</v>
      </c>
      <c r="N5" s="10" t="s">
        <v>35</v>
      </c>
    </row>
    <row r="6" customFormat="false" ht="15" hidden="false" customHeight="false" outlineLevel="0" collapsed="false">
      <c r="A6" s="7" t="n">
        <v>5</v>
      </c>
      <c r="B6" s="8" t="s">
        <v>47</v>
      </c>
      <c r="C6" s="9" t="s">
        <v>48</v>
      </c>
      <c r="D6" s="10" t="s">
        <v>30</v>
      </c>
      <c r="E6" s="10" t="n">
        <v>1954</v>
      </c>
      <c r="F6" s="7" t="str">
        <f aca="false">IF(E6="","",IF(E6&lt;1970,"Abyad w eswed",IF(E6&lt;2000,"70s-90s",IF(E6&lt;2015,"2000s","Gedeed"))))</f>
        <v>Abyad w eswed</v>
      </c>
      <c r="G6" s="10" t="s">
        <v>45</v>
      </c>
      <c r="H6" s="9" t="s">
        <v>32</v>
      </c>
      <c r="I6" s="11" t="s">
        <v>49</v>
      </c>
      <c r="J6" s="11" t="s">
        <v>50</v>
      </c>
      <c r="K6" s="11"/>
      <c r="L6" s="12" t="str">
        <f aca="false">IF(B6="","",IF(LEFT(TRIM(B6),2)="ال",MID(TRIM(B6),3,1),LEFT(TRIM(B6),1)))</f>
        <v>آ</v>
      </c>
      <c r="M6" s="7" t="n">
        <f aca="false">IF(B6="","",LEN(TRIM(B6))-LEN(SUBSTITUTE(TRIM(B6)," ",""))+1)</f>
        <v>2</v>
      </c>
      <c r="N6" s="10" t="s">
        <v>35</v>
      </c>
    </row>
    <row r="7" customFormat="false" ht="15" hidden="false" customHeight="false" outlineLevel="0" collapsed="false">
      <c r="A7" s="7" t="n">
        <v>6</v>
      </c>
      <c r="B7" s="8" t="s">
        <v>51</v>
      </c>
      <c r="C7" s="9" t="s">
        <v>52</v>
      </c>
      <c r="D7" s="10" t="s">
        <v>30</v>
      </c>
      <c r="E7" s="10" t="n">
        <v>1954</v>
      </c>
      <c r="F7" s="7" t="str">
        <f aca="false">IF(E7="","",IF(E7&lt;1970,"Abyad w eswed",IF(E7&lt;2000,"70s-90s",IF(E7&lt;2015,"2000s","Gedeed"))))</f>
        <v>Abyad w eswed</v>
      </c>
      <c r="G7" s="10" t="s">
        <v>31</v>
      </c>
      <c r="H7" s="9" t="s">
        <v>53</v>
      </c>
      <c r="I7" s="11" t="s">
        <v>54</v>
      </c>
      <c r="J7" s="11"/>
      <c r="K7" s="11"/>
      <c r="L7" s="12" t="str">
        <f aca="false">IF(B7="","",IF(LEFT(TRIM(B7),2)="ال",MID(TRIM(B7),3,1),LEFT(TRIM(B7),1)))</f>
        <v>ص</v>
      </c>
      <c r="M7" s="7" t="n">
        <f aca="false">IF(B7="","",LEN(TRIM(B7))-LEN(SUBSTITUTE(TRIM(B7)," ",""))+1)</f>
        <v>3</v>
      </c>
      <c r="N7" s="10" t="s">
        <v>35</v>
      </c>
    </row>
    <row r="8" customFormat="false" ht="15" hidden="false" customHeight="false" outlineLevel="0" collapsed="false">
      <c r="A8" s="7" t="n">
        <v>7</v>
      </c>
      <c r="B8" s="8" t="s">
        <v>55</v>
      </c>
      <c r="C8" s="9" t="s">
        <v>56</v>
      </c>
      <c r="D8" s="10" t="s">
        <v>30</v>
      </c>
      <c r="E8" s="10" t="n">
        <v>1955</v>
      </c>
      <c r="F8" s="7" t="str">
        <f aca="false">IF(E8="","",IF(E8&lt;1970,"Abyad w eswed",IF(E8&lt;2000,"70s-90s",IF(E8&lt;2015,"2000s","Gedeed"))))</f>
        <v>Abyad w eswed</v>
      </c>
      <c r="G8" s="10" t="s">
        <v>57</v>
      </c>
      <c r="H8" s="9" t="s">
        <v>32</v>
      </c>
      <c r="I8" s="11" t="s">
        <v>49</v>
      </c>
      <c r="J8" s="11"/>
      <c r="K8" s="11"/>
      <c r="L8" s="12" t="str">
        <f aca="false">IF(B8="","",IF(LEFT(TRIM(B8),2)="ال",MID(TRIM(B8),3,1),LEFT(TRIM(B8),1)))</f>
        <v>إ</v>
      </c>
      <c r="M8" s="7" t="n">
        <f aca="false">IF(B8="","",LEN(TRIM(B8))-LEN(SUBSTITUTE(TRIM(B8)," ",""))+1)</f>
        <v>4</v>
      </c>
      <c r="N8" s="10" t="s">
        <v>35</v>
      </c>
    </row>
    <row r="9" customFormat="false" ht="15" hidden="false" customHeight="false" outlineLevel="0" collapsed="false">
      <c r="A9" s="7" t="n">
        <v>8</v>
      </c>
      <c r="B9" s="8" t="s">
        <v>58</v>
      </c>
      <c r="C9" s="9" t="s">
        <v>59</v>
      </c>
      <c r="D9" s="10" t="s">
        <v>30</v>
      </c>
      <c r="E9" s="10" t="n">
        <v>1957</v>
      </c>
      <c r="F9" s="7" t="str">
        <f aca="false">IF(E9="","",IF(E9&lt;1970,"Abyad w eswed",IF(E9&lt;2000,"70s-90s",IF(E9&lt;2015,"2000s","Gedeed"))))</f>
        <v>Abyad w eswed</v>
      </c>
      <c r="G9" s="10" t="s">
        <v>45</v>
      </c>
      <c r="H9" s="9" t="s">
        <v>32</v>
      </c>
      <c r="I9" s="11" t="s">
        <v>49</v>
      </c>
      <c r="J9" s="11" t="s">
        <v>60</v>
      </c>
      <c r="K9" s="11" t="s">
        <v>61</v>
      </c>
      <c r="L9" s="12" t="str">
        <f aca="false">IF(B9="","",IF(LEFT(TRIM(B9),2)="ال",MID(TRIM(B9),3,1),LEFT(TRIM(B9),1)))</f>
        <v>ا</v>
      </c>
      <c r="M9" s="7" t="n">
        <f aca="false">IF(B9="","",LEN(TRIM(B9))-LEN(SUBSTITUTE(TRIM(B9)," ",""))+1)</f>
        <v>2</v>
      </c>
      <c r="N9" s="10" t="s">
        <v>35</v>
      </c>
    </row>
    <row r="10" customFormat="false" ht="15" hidden="false" customHeight="false" outlineLevel="0" collapsed="false">
      <c r="A10" s="7" t="n">
        <v>9</v>
      </c>
      <c r="B10" s="8" t="s">
        <v>62</v>
      </c>
      <c r="C10" s="9" t="s">
        <v>63</v>
      </c>
      <c r="D10" s="10" t="s">
        <v>30</v>
      </c>
      <c r="E10" s="10" t="n">
        <v>1957</v>
      </c>
      <c r="F10" s="7" t="str">
        <f aca="false">IF(E10="","",IF(E10&lt;1970,"Abyad w eswed",IF(E10&lt;2000,"70s-90s",IF(E10&lt;2015,"2000s","Gedeed"))))</f>
        <v>Abyad w eswed</v>
      </c>
      <c r="G10" s="10" t="s">
        <v>31</v>
      </c>
      <c r="H10" s="9" t="s">
        <v>53</v>
      </c>
      <c r="I10" s="11" t="s">
        <v>64</v>
      </c>
      <c r="J10" s="11" t="s">
        <v>65</v>
      </c>
      <c r="K10" s="11"/>
      <c r="L10" s="12" t="str">
        <f aca="false">IF(B10="","",IF(LEFT(TRIM(B10),2)="ال",MID(TRIM(B10),3,1),LEFT(TRIM(B10),1)))</f>
        <v>ف</v>
      </c>
      <c r="M10" s="7" t="n">
        <f aca="false">IF(B10="","",LEN(TRIM(B10))-LEN(SUBSTITUTE(TRIM(B10)," ",""))+1)</f>
        <v>1</v>
      </c>
      <c r="N10" s="10" t="s">
        <v>35</v>
      </c>
    </row>
    <row r="11" customFormat="false" ht="15" hidden="false" customHeight="false" outlineLevel="0" collapsed="false">
      <c r="A11" s="7" t="n">
        <v>10</v>
      </c>
      <c r="B11" s="8" t="s">
        <v>66</v>
      </c>
      <c r="C11" s="9" t="s">
        <v>67</v>
      </c>
      <c r="D11" s="10" t="s">
        <v>30</v>
      </c>
      <c r="E11" s="10" t="n">
        <v>1957</v>
      </c>
      <c r="F11" s="7" t="str">
        <f aca="false">IF(E11="","",IF(E11&lt;1970,"Abyad w eswed",IF(E11&lt;2000,"70s-90s",IF(E11&lt;2015,"2000s","Gedeed"))))</f>
        <v>Abyad w eswed</v>
      </c>
      <c r="G11" s="10" t="s">
        <v>45</v>
      </c>
      <c r="H11" s="9" t="s">
        <v>68</v>
      </c>
      <c r="I11" s="11" t="s">
        <v>69</v>
      </c>
      <c r="J11" s="11" t="s">
        <v>70</v>
      </c>
      <c r="K11" s="11"/>
      <c r="L11" s="12" t="str">
        <f aca="false">IF(B11="","",IF(LEFT(TRIM(B11),2)="ال",MID(TRIM(B11),3,1),LEFT(TRIM(B11),1)))</f>
        <v>و</v>
      </c>
      <c r="M11" s="7" t="n">
        <f aca="false">IF(B11="","",LEN(TRIM(B11))-LEN(SUBSTITUTE(TRIM(B11)," ",""))+1)</f>
        <v>2</v>
      </c>
      <c r="N11" s="10" t="s">
        <v>35</v>
      </c>
    </row>
    <row r="12" customFormat="false" ht="15" hidden="false" customHeight="false" outlineLevel="0" collapsed="false">
      <c r="A12" s="7" t="n">
        <v>11</v>
      </c>
      <c r="B12" s="8" t="s">
        <v>71</v>
      </c>
      <c r="C12" s="9" t="s">
        <v>72</v>
      </c>
      <c r="D12" s="10" t="s">
        <v>30</v>
      </c>
      <c r="E12" s="10" t="n">
        <v>1957</v>
      </c>
      <c r="F12" s="7" t="str">
        <f aca="false">IF(E12="","",IF(E12&lt;1970,"Abyad w eswed",IF(E12&lt;2000,"70s-90s",IF(E12&lt;2015,"2000s","Gedeed"))))</f>
        <v>Abyad w eswed</v>
      </c>
      <c r="G12" s="10" t="s">
        <v>45</v>
      </c>
      <c r="H12" s="9" t="s">
        <v>68</v>
      </c>
      <c r="I12" s="11" t="s">
        <v>73</v>
      </c>
      <c r="J12" s="11" t="s">
        <v>74</v>
      </c>
      <c r="K12" s="11"/>
      <c r="L12" s="12" t="str">
        <f aca="false">IF(B12="","",IF(LEFT(TRIM(B12),2)="ال",MID(TRIM(B12),3,1),LEFT(TRIM(B12),1)))</f>
        <v>ر</v>
      </c>
      <c r="M12" s="7" t="n">
        <f aca="false">IF(B12="","",LEN(TRIM(B12))-LEN(SUBSTITUTE(TRIM(B12)," ",""))+1)</f>
        <v>2</v>
      </c>
      <c r="N12" s="10" t="s">
        <v>35</v>
      </c>
    </row>
    <row r="13" customFormat="false" ht="15" hidden="false" customHeight="false" outlineLevel="0" collapsed="false">
      <c r="A13" s="7" t="n">
        <v>12</v>
      </c>
      <c r="B13" s="8" t="s">
        <v>75</v>
      </c>
      <c r="C13" s="9" t="s">
        <v>76</v>
      </c>
      <c r="D13" s="10" t="s">
        <v>30</v>
      </c>
      <c r="E13" s="10" t="n">
        <v>1958</v>
      </c>
      <c r="F13" s="7" t="str">
        <f aca="false">IF(E13="","",IF(E13&lt;1970,"Abyad w eswed",IF(E13&lt;2000,"70s-90s",IF(E13&lt;2015,"2000s","Gedeed"))))</f>
        <v>Abyad w eswed</v>
      </c>
      <c r="G13" s="10" t="s">
        <v>31</v>
      </c>
      <c r="H13" s="9" t="s">
        <v>53</v>
      </c>
      <c r="I13" s="11" t="s">
        <v>77</v>
      </c>
      <c r="J13" s="11" t="s">
        <v>78</v>
      </c>
      <c r="K13" s="11"/>
      <c r="L13" s="12" t="str">
        <f aca="false">IF(B13="","",IF(LEFT(TRIM(B13),2)="ال",MID(TRIM(B13),3,1),LEFT(TRIM(B13),1)))</f>
        <v>ب</v>
      </c>
      <c r="M13" s="7" t="n">
        <f aca="false">IF(B13="","",LEN(TRIM(B13))-LEN(SUBSTITUTE(TRIM(B13)," ",""))+1)</f>
        <v>2</v>
      </c>
      <c r="N13" s="10" t="s">
        <v>35</v>
      </c>
    </row>
    <row r="14" customFormat="false" ht="15" hidden="false" customHeight="false" outlineLevel="0" collapsed="false">
      <c r="A14" s="7" t="n">
        <v>13</v>
      </c>
      <c r="B14" s="8" t="s">
        <v>79</v>
      </c>
      <c r="C14" s="9" t="s">
        <v>80</v>
      </c>
      <c r="D14" s="10" t="s">
        <v>30</v>
      </c>
      <c r="E14" s="10" t="n">
        <v>1959</v>
      </c>
      <c r="F14" s="7" t="str">
        <f aca="false">IF(E14="","",IF(E14&lt;1970,"Abyad w eswed",IF(E14&lt;2000,"70s-90s",IF(E14&lt;2015,"2000s","Gedeed"))))</f>
        <v>Abyad w eswed</v>
      </c>
      <c r="G14" s="10" t="s">
        <v>31</v>
      </c>
      <c r="H14" s="9" t="s">
        <v>68</v>
      </c>
      <c r="I14" s="11" t="s">
        <v>69</v>
      </c>
      <c r="J14" s="11"/>
      <c r="K14" s="11"/>
      <c r="L14" s="12" t="str">
        <f aca="false">IF(B14="","",IF(LEFT(TRIM(B14),2)="ال",MID(TRIM(B14),3,1),LEFT(TRIM(B14),1)))</f>
        <v>ح</v>
      </c>
      <c r="M14" s="7" t="n">
        <f aca="false">IF(B14="","",LEN(TRIM(B14))-LEN(SUBSTITUTE(TRIM(B14)," ",""))+1)</f>
        <v>2</v>
      </c>
      <c r="N14" s="10" t="s">
        <v>42</v>
      </c>
    </row>
    <row r="15" customFormat="false" ht="15" hidden="false" customHeight="false" outlineLevel="0" collapsed="false">
      <c r="A15" s="7" t="n">
        <v>14</v>
      </c>
      <c r="B15" s="8" t="s">
        <v>81</v>
      </c>
      <c r="C15" s="9" t="s">
        <v>82</v>
      </c>
      <c r="D15" s="10" t="s">
        <v>30</v>
      </c>
      <c r="E15" s="10" t="n">
        <v>1959</v>
      </c>
      <c r="F15" s="7" t="str">
        <f aca="false">IF(E15="","",IF(E15&lt;1970,"Abyad w eswed",IF(E15&lt;2000,"70s-90s",IF(E15&lt;2015,"2000s","Gedeed"))))</f>
        <v>Abyad w eswed</v>
      </c>
      <c r="G15" s="10" t="s">
        <v>31</v>
      </c>
      <c r="H15" s="9" t="s">
        <v>53</v>
      </c>
      <c r="I15" s="11" t="s">
        <v>54</v>
      </c>
      <c r="J15" s="11" t="s">
        <v>83</v>
      </c>
      <c r="K15" s="11"/>
      <c r="L15" s="12" t="str">
        <f aca="false">IF(B15="","",IF(LEFT(TRIM(B15),2)="ال",MID(TRIM(B15),3,1),LEFT(TRIM(B15),1)))</f>
        <v>د</v>
      </c>
      <c r="M15" s="7" t="n">
        <f aca="false">IF(B15="","",LEN(TRIM(B15))-LEN(SUBSTITUTE(TRIM(B15)," ",""))+1)</f>
        <v>2</v>
      </c>
      <c r="N15" s="10" t="s">
        <v>35</v>
      </c>
    </row>
    <row r="16" customFormat="false" ht="15" hidden="false" customHeight="false" outlineLevel="0" collapsed="false">
      <c r="A16" s="7" t="n">
        <v>15</v>
      </c>
      <c r="B16" s="8" t="s">
        <v>84</v>
      </c>
      <c r="C16" s="9" t="s">
        <v>85</v>
      </c>
      <c r="D16" s="10" t="s">
        <v>30</v>
      </c>
      <c r="E16" s="10" t="n">
        <v>1960</v>
      </c>
      <c r="F16" s="7" t="str">
        <f aca="false">IF(E16="","",IF(E16&lt;1970,"Abyad w eswed",IF(E16&lt;2000,"70s-90s",IF(E16&lt;2015,"2000s","Gedeed"))))</f>
        <v>Abyad w eswed</v>
      </c>
      <c r="G16" s="10" t="s">
        <v>45</v>
      </c>
      <c r="H16" s="9" t="s">
        <v>32</v>
      </c>
      <c r="I16" s="11" t="s">
        <v>86</v>
      </c>
      <c r="J16" s="11"/>
      <c r="K16" s="11"/>
      <c r="L16" s="12" t="str">
        <f aca="false">IF(B16="","",IF(LEFT(TRIM(B16),2)="ال",MID(TRIM(B16),3,1),LEFT(TRIM(B16),1)))</f>
        <v>إ</v>
      </c>
      <c r="M16" s="7" t="n">
        <f aca="false">IF(B16="","",LEN(TRIM(B16))-LEN(SUBSTITUTE(TRIM(B16)," ",""))+1)</f>
        <v>2</v>
      </c>
      <c r="N16" s="10" t="s">
        <v>35</v>
      </c>
    </row>
    <row r="17" customFormat="false" ht="15" hidden="false" customHeight="false" outlineLevel="0" collapsed="false">
      <c r="A17" s="7" t="n">
        <v>16</v>
      </c>
      <c r="B17" s="8" t="s">
        <v>87</v>
      </c>
      <c r="C17" s="9" t="s">
        <v>88</v>
      </c>
      <c r="D17" s="10" t="s">
        <v>30</v>
      </c>
      <c r="E17" s="10" t="n">
        <v>1960</v>
      </c>
      <c r="F17" s="7" t="str">
        <f aca="false">IF(E17="","",IF(E17&lt;1970,"Abyad w eswed",IF(E17&lt;2000,"70s-90s",IF(E17&lt;2015,"2000s","Gedeed"))))</f>
        <v>Abyad w eswed</v>
      </c>
      <c r="G17" s="10" t="s">
        <v>31</v>
      </c>
      <c r="H17" s="9" t="s">
        <v>53</v>
      </c>
      <c r="I17" s="11" t="s">
        <v>86</v>
      </c>
      <c r="J17" s="11" t="s">
        <v>89</v>
      </c>
      <c r="K17" s="11"/>
      <c r="L17" s="12" t="str">
        <f aca="false">IF(B17="","",IF(LEFT(TRIM(B17),2)="ال",MID(TRIM(B17),3,1),LEFT(TRIM(B17),1)))</f>
        <v>ب</v>
      </c>
      <c r="M17" s="7" t="n">
        <f aca="false">IF(B17="","",LEN(TRIM(B17))-LEN(SUBSTITUTE(TRIM(B17)," ",""))+1)</f>
        <v>2</v>
      </c>
      <c r="N17" s="10" t="s">
        <v>35</v>
      </c>
    </row>
    <row r="18" customFormat="false" ht="15" hidden="false" customHeight="false" outlineLevel="0" collapsed="false">
      <c r="A18" s="7" t="n">
        <v>17</v>
      </c>
      <c r="B18" s="8" t="s">
        <v>90</v>
      </c>
      <c r="C18" s="9" t="s">
        <v>91</v>
      </c>
      <c r="D18" s="10" t="s">
        <v>30</v>
      </c>
      <c r="E18" s="10" t="n">
        <v>1960</v>
      </c>
      <c r="F18" s="7" t="str">
        <f aca="false">IF(E18="","",IF(E18&lt;1970,"Abyad w eswed",IF(E18&lt;2000,"70s-90s",IF(E18&lt;2015,"2000s","Gedeed"))))</f>
        <v>Abyad w eswed</v>
      </c>
      <c r="G18" s="10" t="s">
        <v>45</v>
      </c>
      <c r="H18" s="9" t="s">
        <v>32</v>
      </c>
      <c r="I18" s="11" t="s">
        <v>92</v>
      </c>
      <c r="J18" s="11" t="s">
        <v>90</v>
      </c>
      <c r="K18" s="11"/>
      <c r="L18" s="12" t="str">
        <f aca="false">IF(B18="","",IF(LEFT(TRIM(B18),2)="ال",MID(TRIM(B18),3,1),LEFT(TRIM(B18),1)))</f>
        <v>س</v>
      </c>
      <c r="M18" s="7" t="n">
        <f aca="false">IF(B18="","",LEN(TRIM(B18))-LEN(SUBSTITUTE(TRIM(B18)," ",""))+1)</f>
        <v>2</v>
      </c>
      <c r="N18" s="10" t="s">
        <v>35</v>
      </c>
    </row>
    <row r="19" customFormat="false" ht="15" hidden="false" customHeight="false" outlineLevel="0" collapsed="false">
      <c r="A19" s="7" t="n">
        <v>18</v>
      </c>
      <c r="B19" s="8" t="s">
        <v>93</v>
      </c>
      <c r="C19" s="9" t="s">
        <v>94</v>
      </c>
      <c r="D19" s="10" t="s">
        <v>30</v>
      </c>
      <c r="E19" s="10" t="n">
        <v>1961</v>
      </c>
      <c r="F19" s="7" t="str">
        <f aca="false">IF(E19="","",IF(E19&lt;1970,"Abyad w eswed",IF(E19&lt;2000,"70s-90s",IF(E19&lt;2015,"2000s","Gedeed"))))</f>
        <v>Abyad w eswed</v>
      </c>
      <c r="G19" s="10" t="s">
        <v>45</v>
      </c>
      <c r="H19" s="9" t="s">
        <v>32</v>
      </c>
      <c r="I19" s="11" t="s">
        <v>95</v>
      </c>
      <c r="J19" s="11" t="s">
        <v>96</v>
      </c>
      <c r="K19" s="11"/>
      <c r="L19" s="12" t="str">
        <f aca="false">IF(B19="","",IF(LEFT(TRIM(B19),2)="ال",MID(TRIM(B19),3,1),LEFT(TRIM(B19),1)))</f>
        <v>س</v>
      </c>
      <c r="M19" s="7" t="n">
        <f aca="false">IF(B19="","",LEN(TRIM(B19))-LEN(SUBSTITUTE(TRIM(B19)," ",""))+1)</f>
        <v>2</v>
      </c>
      <c r="N19" s="10" t="s">
        <v>35</v>
      </c>
    </row>
    <row r="20" customFormat="false" ht="15" hidden="false" customHeight="false" outlineLevel="0" collapsed="false">
      <c r="A20" s="7" t="n">
        <v>19</v>
      </c>
      <c r="B20" s="8" t="s">
        <v>97</v>
      </c>
      <c r="C20" s="9" t="s">
        <v>98</v>
      </c>
      <c r="D20" s="10" t="s">
        <v>30</v>
      </c>
      <c r="E20" s="10" t="n">
        <v>1962</v>
      </c>
      <c r="F20" s="7" t="str">
        <f aca="false">IF(E20="","",IF(E20&lt;1970,"Abyad w eswed",IF(E20&lt;2000,"70s-90s",IF(E20&lt;2015,"2000s","Gedeed"))))</f>
        <v>Abyad w eswed</v>
      </c>
      <c r="G20" s="10" t="s">
        <v>31</v>
      </c>
      <c r="H20" s="9" t="s">
        <v>53</v>
      </c>
      <c r="I20" s="11" t="s">
        <v>69</v>
      </c>
      <c r="J20" s="11"/>
      <c r="K20" s="11"/>
      <c r="L20" s="12" t="str">
        <f aca="false">IF(B20="","",IF(LEFT(TRIM(B20),2)="ال",MID(TRIM(B20),3,1),LEFT(TRIM(B20),1)))</f>
        <v>خ</v>
      </c>
      <c r="M20" s="7" t="n">
        <f aca="false">IF(B20="","",LEN(TRIM(B20))-LEN(SUBSTITUTE(TRIM(B20)," ",""))+1)</f>
        <v>1</v>
      </c>
      <c r="N20" s="10" t="s">
        <v>42</v>
      </c>
    </row>
    <row r="21" customFormat="false" ht="15" hidden="false" customHeight="false" outlineLevel="0" collapsed="false">
      <c r="A21" s="7" t="n">
        <v>20</v>
      </c>
      <c r="B21" s="8" t="s">
        <v>99</v>
      </c>
      <c r="C21" s="9" t="s">
        <v>100</v>
      </c>
      <c r="D21" s="10" t="s">
        <v>30</v>
      </c>
      <c r="E21" s="10" t="n">
        <v>1962</v>
      </c>
      <c r="F21" s="7" t="str">
        <f aca="false">IF(E21="","",IF(E21&lt;1970,"Abyad w eswed",IF(E21&lt;2000,"70s-90s",IF(E21&lt;2015,"2000s","Gedeed"))))</f>
        <v>Abyad w eswed</v>
      </c>
      <c r="G21" s="10" t="s">
        <v>45</v>
      </c>
      <c r="H21" s="9" t="s">
        <v>32</v>
      </c>
      <c r="I21" s="11" t="s">
        <v>101</v>
      </c>
      <c r="J21" s="11"/>
      <c r="K21" s="11"/>
      <c r="L21" s="12" t="str">
        <f aca="false">IF(B21="","",IF(LEFT(TRIM(B21),2)="ال",MID(TRIM(B21),3,1),LEFT(TRIM(B21),1)))</f>
        <v>ز</v>
      </c>
      <c r="M21" s="7" t="n">
        <f aca="false">IF(B21="","",LEN(TRIM(B21))-LEN(SUBSTITUTE(TRIM(B21)," ",""))+1)</f>
        <v>2</v>
      </c>
      <c r="N21" s="10" t="s">
        <v>35</v>
      </c>
    </row>
    <row r="22" customFormat="false" ht="15" hidden="false" customHeight="false" outlineLevel="0" collapsed="false">
      <c r="A22" s="7" t="n">
        <v>21</v>
      </c>
      <c r="B22" s="8" t="s">
        <v>102</v>
      </c>
      <c r="C22" s="9" t="s">
        <v>103</v>
      </c>
      <c r="D22" s="10" t="s">
        <v>30</v>
      </c>
      <c r="E22" s="10" t="n">
        <v>1962</v>
      </c>
      <c r="F22" s="7" t="str">
        <f aca="false">IF(E22="","",IF(E22&lt;1970,"Abyad w eswed",IF(E22&lt;2000,"70s-90s",IF(E22&lt;2015,"2000s","Gedeed"))))</f>
        <v>Abyad w eswed</v>
      </c>
      <c r="G22" s="10" t="s">
        <v>31</v>
      </c>
      <c r="H22" s="9" t="s">
        <v>104</v>
      </c>
      <c r="I22" s="11" t="s">
        <v>73</v>
      </c>
      <c r="J22" s="11" t="s">
        <v>105</v>
      </c>
      <c r="K22" s="11"/>
      <c r="L22" s="12" t="str">
        <f aca="false">IF(B22="","",IF(LEFT(TRIM(B22),2)="ال",MID(TRIM(B22),3,1),LEFT(TRIM(B22),1)))</f>
        <v>ل</v>
      </c>
      <c r="M22" s="7" t="n">
        <f aca="false">IF(B22="","",LEN(TRIM(B22))-LEN(SUBSTITUTE(TRIM(B22)," ",""))+1)</f>
        <v>2</v>
      </c>
      <c r="N22" s="10" t="s">
        <v>35</v>
      </c>
    </row>
    <row r="23" customFormat="false" ht="15" hidden="false" customHeight="false" outlineLevel="0" collapsed="false">
      <c r="A23" s="7" t="n">
        <v>22</v>
      </c>
      <c r="B23" s="8" t="s">
        <v>106</v>
      </c>
      <c r="C23" s="9" t="s">
        <v>107</v>
      </c>
      <c r="D23" s="10" t="s">
        <v>30</v>
      </c>
      <c r="E23" s="10" t="n">
        <v>1963</v>
      </c>
      <c r="F23" s="7" t="str">
        <f aca="false">IF(E23="","",IF(E23&lt;1970,"Abyad w eswed",IF(E23&lt;2000,"70s-90s",IF(E23&lt;2015,"2000s","Gedeed"))))</f>
        <v>Abyad w eswed</v>
      </c>
      <c r="G23" s="10" t="s">
        <v>45</v>
      </c>
      <c r="H23" s="9" t="s">
        <v>32</v>
      </c>
      <c r="I23" s="11" t="s">
        <v>108</v>
      </c>
      <c r="J23" s="11"/>
      <c r="K23" s="11"/>
      <c r="L23" s="12" t="str">
        <f aca="false">IF(B23="","",IF(LEFT(TRIM(B23),2)="ال",MID(TRIM(B23),3,1),LEFT(TRIM(B23),1)))</f>
        <v>أ</v>
      </c>
      <c r="M23" s="7" t="n">
        <f aca="false">IF(B23="","",LEN(TRIM(B23))-LEN(SUBSTITUTE(TRIM(B23)," ",""))+1)</f>
        <v>2</v>
      </c>
      <c r="N23" s="10" t="s">
        <v>35</v>
      </c>
    </row>
    <row r="24" customFormat="false" ht="15" hidden="false" customHeight="false" outlineLevel="0" collapsed="false">
      <c r="A24" s="7" t="n">
        <v>23</v>
      </c>
      <c r="B24" s="8" t="s">
        <v>109</v>
      </c>
      <c r="C24" s="9" t="s">
        <v>110</v>
      </c>
      <c r="D24" s="10" t="s">
        <v>30</v>
      </c>
      <c r="E24" s="10" t="n">
        <v>1963</v>
      </c>
      <c r="F24" s="7" t="str">
        <f aca="false">IF(E24="","",IF(E24&lt;1970,"Abyad w eswed",IF(E24&lt;2000,"70s-90s",IF(E24&lt;2015,"2000s","Gedeed"))))</f>
        <v>Abyad w eswed</v>
      </c>
      <c r="G24" s="10" t="s">
        <v>31</v>
      </c>
      <c r="H24" s="9" t="s">
        <v>32</v>
      </c>
      <c r="I24" s="11" t="s">
        <v>111</v>
      </c>
      <c r="J24" s="11"/>
      <c r="K24" s="11"/>
      <c r="L24" s="12" t="str">
        <f aca="false">IF(B24="","",IF(LEFT(TRIM(B24),2)="ال",MID(TRIM(B24),3,1),LEFT(TRIM(B24),1)))</f>
        <v>أ</v>
      </c>
      <c r="M24" s="7" t="n">
        <f aca="false">IF(B24="","",LEN(TRIM(B24))-LEN(SUBSTITUTE(TRIM(B24)," ",""))+1)</f>
        <v>2</v>
      </c>
      <c r="N24" s="10" t="s">
        <v>42</v>
      </c>
    </row>
    <row r="25" customFormat="false" ht="15" hidden="false" customHeight="false" outlineLevel="0" collapsed="false">
      <c r="A25" s="7" t="n">
        <v>24</v>
      </c>
      <c r="B25" s="8" t="s">
        <v>112</v>
      </c>
      <c r="C25" s="9" t="s">
        <v>113</v>
      </c>
      <c r="D25" s="10" t="s">
        <v>30</v>
      </c>
      <c r="E25" s="10" t="n">
        <v>1963</v>
      </c>
      <c r="F25" s="7" t="str">
        <f aca="false">IF(E25="","",IF(E25&lt;1970,"Abyad w eswed",IF(E25&lt;2000,"70s-90s",IF(E25&lt;2015,"2000s","Gedeed"))))</f>
        <v>Abyad w eswed</v>
      </c>
      <c r="G25" s="10" t="s">
        <v>31</v>
      </c>
      <c r="H25" s="9" t="s">
        <v>114</v>
      </c>
      <c r="I25" s="11" t="s">
        <v>111</v>
      </c>
      <c r="J25" s="11" t="s">
        <v>115</v>
      </c>
      <c r="K25" s="11"/>
      <c r="L25" s="12" t="str">
        <f aca="false">IF(B25="","",IF(LEFT(TRIM(B25),2)="ال",MID(TRIM(B25),3,1),LEFT(TRIM(B25),1)))</f>
        <v>ن</v>
      </c>
      <c r="M25" s="7" t="n">
        <f aca="false">IF(B25="","",LEN(TRIM(B25))-LEN(SUBSTITUTE(TRIM(B25)," ",""))+1)</f>
        <v>3</v>
      </c>
      <c r="N25" s="10" t="s">
        <v>35</v>
      </c>
    </row>
    <row r="26" customFormat="false" ht="15" hidden="false" customHeight="false" outlineLevel="0" collapsed="false">
      <c r="A26" s="7" t="n">
        <v>25</v>
      </c>
      <c r="B26" s="8" t="s">
        <v>116</v>
      </c>
      <c r="C26" s="9" t="s">
        <v>117</v>
      </c>
      <c r="D26" s="10" t="s">
        <v>30</v>
      </c>
      <c r="E26" s="10" t="n">
        <v>1963</v>
      </c>
      <c r="F26" s="7" t="str">
        <f aca="false">IF(E26="","",IF(E26&lt;1970,"Abyad w eswed",IF(E26&lt;2000,"70s-90s",IF(E26&lt;2015,"2000s","Gedeed"))))</f>
        <v>Abyad w eswed</v>
      </c>
      <c r="G26" s="10" t="s">
        <v>45</v>
      </c>
      <c r="H26" s="9" t="s">
        <v>32</v>
      </c>
      <c r="I26" s="11" t="s">
        <v>118</v>
      </c>
      <c r="J26" s="11" t="s">
        <v>119</v>
      </c>
      <c r="K26" s="11"/>
      <c r="L26" s="12" t="str">
        <f aca="false">IF(B26="","",IF(LEFT(TRIM(B26),2)="ال",MID(TRIM(B26),3,1),LEFT(TRIM(B26),1)))</f>
        <v>ع</v>
      </c>
      <c r="M26" s="7" t="n">
        <f aca="false">IF(B26="","",LEN(TRIM(B26))-LEN(SUBSTITUTE(TRIM(B26)," ",""))+1)</f>
        <v>2</v>
      </c>
      <c r="N26" s="10" t="s">
        <v>35</v>
      </c>
    </row>
    <row r="27" customFormat="false" ht="15" hidden="false" customHeight="false" outlineLevel="0" collapsed="false">
      <c r="A27" s="7" t="n">
        <v>26</v>
      </c>
      <c r="B27" s="8" t="s">
        <v>120</v>
      </c>
      <c r="C27" s="9" t="s">
        <v>121</v>
      </c>
      <c r="D27" s="10" t="s">
        <v>30</v>
      </c>
      <c r="E27" s="10" t="n">
        <v>1964</v>
      </c>
      <c r="F27" s="7" t="str">
        <f aca="false">IF(E27="","",IF(E27&lt;1970,"Abyad w eswed",IF(E27&lt;2000,"70s-90s",IF(E27&lt;2015,"2000s","Gedeed"))))</f>
        <v>Abyad w eswed</v>
      </c>
      <c r="G27" s="10" t="s">
        <v>31</v>
      </c>
      <c r="H27" s="9" t="s">
        <v>53</v>
      </c>
      <c r="I27" s="11" t="s">
        <v>122</v>
      </c>
      <c r="J27" s="11" t="s">
        <v>123</v>
      </c>
      <c r="K27" s="11"/>
      <c r="L27" s="12" t="str">
        <f aca="false">IF(B27="","",IF(LEFT(TRIM(B27),2)="ال",MID(TRIM(B27),3,1),LEFT(TRIM(B27),1)))</f>
        <v>ب</v>
      </c>
      <c r="M27" s="7" t="n">
        <f aca="false">IF(B27="","",LEN(TRIM(B27))-LEN(SUBSTITUTE(TRIM(B27)," ",""))+1)</f>
        <v>2</v>
      </c>
      <c r="N27" s="10" t="s">
        <v>35</v>
      </c>
    </row>
    <row r="28" customFormat="false" ht="15" hidden="false" customHeight="false" outlineLevel="0" collapsed="false">
      <c r="A28" s="7" t="n">
        <v>27</v>
      </c>
      <c r="B28" s="8" t="s">
        <v>124</v>
      </c>
      <c r="C28" s="9" t="s">
        <v>125</v>
      </c>
      <c r="D28" s="10" t="s">
        <v>30</v>
      </c>
      <c r="E28" s="10" t="n">
        <v>1965</v>
      </c>
      <c r="F28" s="7" t="str">
        <f aca="false">IF(E28="","",IF(E28&lt;1970,"Abyad w eswed",IF(E28&lt;2000,"70s-90s",IF(E28&lt;2015,"2000s","Gedeed"))))</f>
        <v>Abyad w eswed</v>
      </c>
      <c r="G28" s="10" t="s">
        <v>31</v>
      </c>
      <c r="H28" s="9" t="s">
        <v>53</v>
      </c>
      <c r="I28" s="11" t="s">
        <v>54</v>
      </c>
      <c r="J28" s="11" t="s">
        <v>96</v>
      </c>
      <c r="K28" s="11"/>
      <c r="L28" s="12" t="str">
        <f aca="false">IF(B28="","",IF(LEFT(TRIM(B28),2)="ال",MID(TRIM(B28),3,1),LEFT(TRIM(B28),1)))</f>
        <v>ح</v>
      </c>
      <c r="M28" s="7" t="n">
        <f aca="false">IF(B28="","",LEN(TRIM(B28))-LEN(SUBSTITUTE(TRIM(B28)," ",""))+1)</f>
        <v>1</v>
      </c>
      <c r="N28" s="10" t="s">
        <v>35</v>
      </c>
    </row>
    <row r="29" customFormat="false" ht="15" hidden="false" customHeight="false" outlineLevel="0" collapsed="false">
      <c r="A29" s="7" t="n">
        <v>28</v>
      </c>
      <c r="B29" s="8" t="s">
        <v>126</v>
      </c>
      <c r="C29" s="9" t="s">
        <v>127</v>
      </c>
      <c r="D29" s="10" t="s">
        <v>30</v>
      </c>
      <c r="E29" s="10" t="n">
        <v>1966</v>
      </c>
      <c r="F29" s="7" t="str">
        <f aca="false">IF(E29="","",IF(E29&lt;1970,"Abyad w eswed",IF(E29&lt;2000,"70s-90s",IF(E29&lt;2015,"2000s","Gedeed"))))</f>
        <v>Abyad w eswed</v>
      </c>
      <c r="G29" s="10" t="s">
        <v>45</v>
      </c>
      <c r="H29" s="9" t="s">
        <v>40</v>
      </c>
      <c r="I29" s="11" t="s">
        <v>95</v>
      </c>
      <c r="J29" s="11"/>
      <c r="K29" s="11"/>
      <c r="L29" s="12" t="str">
        <f aca="false">IF(B29="","",IF(LEFT(TRIM(B29),2)="ال",MID(TRIM(B29),3,1),LEFT(TRIM(B29),1)))</f>
        <v>ص</v>
      </c>
      <c r="M29" s="7" t="n">
        <f aca="false">IF(B29="","",LEN(TRIM(B29))-LEN(SUBSTITUTE(TRIM(B29)," ",""))+1)</f>
        <v>3</v>
      </c>
      <c r="N29" s="10" t="s">
        <v>35</v>
      </c>
    </row>
    <row r="30" customFormat="false" ht="15" hidden="false" customHeight="false" outlineLevel="0" collapsed="false">
      <c r="A30" s="7" t="n">
        <v>29</v>
      </c>
      <c r="B30" s="8" t="s">
        <v>128</v>
      </c>
      <c r="C30" s="9" t="s">
        <v>129</v>
      </c>
      <c r="D30" s="10" t="s">
        <v>30</v>
      </c>
      <c r="E30" s="10" t="n">
        <v>1967</v>
      </c>
      <c r="F30" s="7" t="str">
        <f aca="false">IF(E30="","",IF(E30&lt;1970,"Abyad w eswed",IF(E30&lt;2000,"70s-90s",IF(E30&lt;2015,"2000s","Gedeed"))))</f>
        <v>Abyad w eswed</v>
      </c>
      <c r="G30" s="10" t="s">
        <v>45</v>
      </c>
      <c r="H30" s="9" t="s">
        <v>32</v>
      </c>
      <c r="I30" s="11" t="s">
        <v>95</v>
      </c>
      <c r="J30" s="11" t="s">
        <v>130</v>
      </c>
      <c r="K30" s="11" t="s">
        <v>131</v>
      </c>
      <c r="L30" s="12" t="str">
        <f aca="false">IF(B30="","",IF(LEFT(TRIM(B30),2)="ال",MID(TRIM(B30),3,1),LEFT(TRIM(B30),1)))</f>
        <v>ز</v>
      </c>
      <c r="M30" s="7" t="n">
        <f aca="false">IF(B30="","",LEN(TRIM(B30))-LEN(SUBSTITUTE(TRIM(B30)," ",""))+1)</f>
        <v>2</v>
      </c>
      <c r="N30" s="10" t="s">
        <v>35</v>
      </c>
    </row>
    <row r="31" customFormat="false" ht="15" hidden="false" customHeight="false" outlineLevel="0" collapsed="false">
      <c r="A31" s="7" t="n">
        <v>30</v>
      </c>
      <c r="B31" s="8" t="s">
        <v>132</v>
      </c>
      <c r="C31" s="9" t="s">
        <v>133</v>
      </c>
      <c r="D31" s="10" t="s">
        <v>30</v>
      </c>
      <c r="E31" s="10" t="n">
        <v>1967</v>
      </c>
      <c r="F31" s="7" t="str">
        <f aca="false">IF(E31="","",IF(E31&lt;1970,"Abyad w eswed",IF(E31&lt;2000,"70s-90s",IF(E31&lt;2015,"2000s","Gedeed"))))</f>
        <v>Abyad w eswed</v>
      </c>
      <c r="G31" s="10" t="s">
        <v>31</v>
      </c>
      <c r="H31" s="9" t="s">
        <v>53</v>
      </c>
      <c r="I31" s="11" t="s">
        <v>122</v>
      </c>
      <c r="J31" s="11" t="s">
        <v>123</v>
      </c>
      <c r="K31" s="11"/>
      <c r="L31" s="12" t="str">
        <f aca="false">IF(B31="","",IF(LEFT(TRIM(B31),2)="ال",MID(TRIM(B31),3,1),LEFT(TRIM(B31),1)))</f>
        <v>ق</v>
      </c>
      <c r="M31" s="7" t="n">
        <f aca="false">IF(B31="","",LEN(TRIM(B31))-LEN(SUBSTITUTE(TRIM(B31)," ",""))+1)</f>
        <v>2</v>
      </c>
      <c r="N31" s="10" t="s">
        <v>35</v>
      </c>
    </row>
    <row r="32" customFormat="false" ht="15" hidden="false" customHeight="false" outlineLevel="0" collapsed="false">
      <c r="A32" s="7" t="n">
        <v>31</v>
      </c>
      <c r="B32" s="8" t="s">
        <v>134</v>
      </c>
      <c r="C32" s="9" t="s">
        <v>135</v>
      </c>
      <c r="D32" s="10" t="s">
        <v>30</v>
      </c>
      <c r="E32" s="10" t="n">
        <v>1967</v>
      </c>
      <c r="F32" s="7" t="str">
        <f aca="false">IF(E32="","",IF(E32&lt;1970,"Abyad w eswed",IF(E32&lt;2000,"70s-90s",IF(E32&lt;2015,"2000s","Gedeed"))))</f>
        <v>Abyad w eswed</v>
      </c>
      <c r="G32" s="10" t="s">
        <v>31</v>
      </c>
      <c r="H32" s="9" t="s">
        <v>40</v>
      </c>
      <c r="I32" s="11" t="s">
        <v>69</v>
      </c>
      <c r="J32" s="11"/>
      <c r="K32" s="11"/>
      <c r="L32" s="12" t="str">
        <f aca="false">IF(B32="","",IF(LEFT(TRIM(B32),2)="ال",MID(TRIM(B32),3,1),LEFT(TRIM(B32),1)))</f>
        <v>م</v>
      </c>
      <c r="M32" s="7" t="n">
        <f aca="false">IF(B32="","",LEN(TRIM(B32))-LEN(SUBSTITUTE(TRIM(B32)," ",""))+1)</f>
        <v>2</v>
      </c>
      <c r="N32" s="10" t="s">
        <v>35</v>
      </c>
    </row>
    <row r="33" customFormat="false" ht="15" hidden="false" customHeight="false" outlineLevel="0" collapsed="false">
      <c r="A33" s="7" t="n">
        <v>32</v>
      </c>
      <c r="B33" s="8" t="s">
        <v>136</v>
      </c>
      <c r="C33" s="9" t="s">
        <v>137</v>
      </c>
      <c r="D33" s="10" t="s">
        <v>30</v>
      </c>
      <c r="E33" s="10" t="n">
        <v>1968</v>
      </c>
      <c r="F33" s="7" t="str">
        <f aca="false">IF(E33="","",IF(E33&lt;1970,"Abyad w eswed",IF(E33&lt;2000,"70s-90s",IF(E33&lt;2015,"2000s","Gedeed"))))</f>
        <v>Abyad w eswed</v>
      </c>
      <c r="G33" s="10" t="s">
        <v>45</v>
      </c>
      <c r="H33" s="9" t="s">
        <v>32</v>
      </c>
      <c r="I33" s="11" t="s">
        <v>118</v>
      </c>
      <c r="J33" s="11" t="s">
        <v>138</v>
      </c>
      <c r="K33" s="11"/>
      <c r="L33" s="12" t="str">
        <f aca="false">IF(B33="","",IF(LEFT(TRIM(B33),2)="ال",MID(TRIM(B33),3,1),LEFT(TRIM(B33),1)))</f>
        <v>أ</v>
      </c>
      <c r="M33" s="7" t="n">
        <f aca="false">IF(B33="","",LEN(TRIM(B33))-LEN(SUBSTITUTE(TRIM(B33)," ",""))+1)</f>
        <v>2</v>
      </c>
      <c r="N33" s="10" t="s">
        <v>35</v>
      </c>
    </row>
    <row r="34" customFormat="false" ht="15" hidden="false" customHeight="false" outlineLevel="0" collapsed="false">
      <c r="A34" s="7" t="n">
        <v>33</v>
      </c>
      <c r="B34" s="8" t="s">
        <v>139</v>
      </c>
      <c r="C34" s="9" t="s">
        <v>140</v>
      </c>
      <c r="D34" s="10" t="s">
        <v>30</v>
      </c>
      <c r="E34" s="10" t="n">
        <v>1968</v>
      </c>
      <c r="F34" s="7" t="str">
        <f aca="false">IF(E34="","",IF(E34&lt;1970,"Abyad w eswed",IF(E34&lt;2000,"70s-90s",IF(E34&lt;2015,"2000s","Gedeed"))))</f>
        <v>Abyad w eswed</v>
      </c>
      <c r="G34" s="10" t="s">
        <v>31</v>
      </c>
      <c r="H34" s="9" t="s">
        <v>53</v>
      </c>
      <c r="I34" s="11" t="s">
        <v>73</v>
      </c>
      <c r="J34" s="11"/>
      <c r="K34" s="11"/>
      <c r="L34" s="12" t="str">
        <f aca="false">IF(B34="","",IF(LEFT(TRIM(B34),2)="ال",MID(TRIM(B34),3,1),LEFT(TRIM(B34),1)))</f>
        <v>ب</v>
      </c>
      <c r="M34" s="7" t="n">
        <f aca="false">IF(B34="","",LEN(TRIM(B34))-LEN(SUBSTITUTE(TRIM(B34)," ",""))+1)</f>
        <v>1</v>
      </c>
      <c r="N34" s="10" t="s">
        <v>35</v>
      </c>
    </row>
    <row r="35" customFormat="false" ht="15" hidden="false" customHeight="false" outlineLevel="0" collapsed="false">
      <c r="A35" s="7" t="n">
        <v>34</v>
      </c>
      <c r="B35" s="8" t="s">
        <v>141</v>
      </c>
      <c r="C35" s="9" t="s">
        <v>142</v>
      </c>
      <c r="D35" s="10" t="s">
        <v>30</v>
      </c>
      <c r="E35" s="10" t="n">
        <v>1968</v>
      </c>
      <c r="F35" s="7" t="str">
        <f aca="false">IF(E35="","",IF(E35&lt;1970,"Abyad w eswed",IF(E35&lt;2000,"70s-90s",IF(E35&lt;2015,"2000s","Gedeed"))))</f>
        <v>Abyad w eswed</v>
      </c>
      <c r="G35" s="10" t="s">
        <v>45</v>
      </c>
      <c r="H35" s="9" t="s">
        <v>32</v>
      </c>
      <c r="I35" s="11" t="s">
        <v>118</v>
      </c>
      <c r="J35" s="11" t="s">
        <v>143</v>
      </c>
      <c r="K35" s="11"/>
      <c r="L35" s="12" t="str">
        <f aca="false">IF(B35="","",IF(LEFT(TRIM(B35),2)="ال",MID(TRIM(B35),3,1),LEFT(TRIM(B35),1)))</f>
        <v>ش</v>
      </c>
      <c r="M35" s="7" t="n">
        <f aca="false">IF(B35="","",LEN(TRIM(B35))-LEN(SUBSTITUTE(TRIM(B35)," ",""))+1)</f>
        <v>3</v>
      </c>
      <c r="N35" s="10" t="s">
        <v>35</v>
      </c>
    </row>
    <row r="36" customFormat="false" ht="15" hidden="false" customHeight="false" outlineLevel="0" collapsed="false">
      <c r="A36" s="7" t="n">
        <v>35</v>
      </c>
      <c r="B36" s="8" t="s">
        <v>144</v>
      </c>
      <c r="C36" s="9" t="s">
        <v>145</v>
      </c>
      <c r="D36" s="10" t="s">
        <v>30</v>
      </c>
      <c r="E36" s="10" t="n">
        <v>1968</v>
      </c>
      <c r="F36" s="7" t="str">
        <f aca="false">IF(E36="","",IF(E36&lt;1970,"Abyad w eswed",IF(E36&lt;2000,"70s-90s",IF(E36&lt;2015,"2000s","Gedeed"))))</f>
        <v>Abyad w eswed</v>
      </c>
      <c r="G36" s="10" t="s">
        <v>31</v>
      </c>
      <c r="H36" s="9" t="s">
        <v>53</v>
      </c>
      <c r="I36" s="11" t="s">
        <v>73</v>
      </c>
      <c r="J36" s="11"/>
      <c r="K36" s="11"/>
      <c r="L36" s="12" t="str">
        <f aca="false">IF(B36="","",IF(LEFT(TRIM(B36),2)="ال",MID(TRIM(B36),3,1),LEFT(TRIM(B36),1)))</f>
        <v>ق</v>
      </c>
      <c r="M36" s="7" t="n">
        <f aca="false">IF(B36="","",LEN(TRIM(B36))-LEN(SUBSTITUTE(TRIM(B36)," ",""))+1)</f>
        <v>3</v>
      </c>
      <c r="N36" s="10" t="s">
        <v>35</v>
      </c>
    </row>
    <row r="37" customFormat="false" ht="15" hidden="false" customHeight="false" outlineLevel="0" collapsed="false">
      <c r="A37" s="7" t="n">
        <v>36</v>
      </c>
      <c r="B37" s="8" t="s">
        <v>146</v>
      </c>
      <c r="C37" s="9" t="s">
        <v>147</v>
      </c>
      <c r="D37" s="10" t="s">
        <v>30</v>
      </c>
      <c r="E37" s="10" t="n">
        <v>1968</v>
      </c>
      <c r="F37" s="7" t="str">
        <f aca="false">IF(E37="","",IF(E37&lt;1970,"Abyad w eswed",IF(E37&lt;2000,"70s-90s",IF(E37&lt;2015,"2000s","Gedeed"))))</f>
        <v>Abyad w eswed</v>
      </c>
      <c r="G37" s="10" t="s">
        <v>31</v>
      </c>
      <c r="H37" s="9" t="s">
        <v>32</v>
      </c>
      <c r="I37" s="11" t="s">
        <v>118</v>
      </c>
      <c r="J37" s="11"/>
      <c r="K37" s="11"/>
      <c r="L37" s="12" t="str">
        <f aca="false">IF(B37="","",IF(LEFT(TRIM(B37),2)="ال",MID(TRIM(B37),3,1),LEFT(TRIM(B37),1)))</f>
        <v>م</v>
      </c>
      <c r="M37" s="7" t="n">
        <f aca="false">IF(B37="","",LEN(TRIM(B37))-LEN(SUBSTITUTE(TRIM(B37)," ",""))+1)</f>
        <v>2</v>
      </c>
      <c r="N37" s="10" t="s">
        <v>35</v>
      </c>
    </row>
    <row r="38" customFormat="false" ht="15" hidden="false" customHeight="false" outlineLevel="0" collapsed="false">
      <c r="A38" s="7" t="n">
        <v>37</v>
      </c>
      <c r="B38" s="8" t="s">
        <v>148</v>
      </c>
      <c r="C38" s="9" t="s">
        <v>149</v>
      </c>
      <c r="D38" s="10" t="s">
        <v>30</v>
      </c>
      <c r="E38" s="10" t="n">
        <v>1969</v>
      </c>
      <c r="F38" s="7" t="str">
        <f aca="false">IF(E38="","",IF(E38&lt;1970,"Abyad w eswed",IF(E38&lt;2000,"70s-90s",IF(E38&lt;2015,"2000s","Gedeed"))))</f>
        <v>Abyad w eswed</v>
      </c>
      <c r="G38" s="10" t="s">
        <v>45</v>
      </c>
      <c r="H38" s="9" t="s">
        <v>40</v>
      </c>
      <c r="I38" s="11" t="s">
        <v>69</v>
      </c>
      <c r="J38" s="11"/>
      <c r="K38" s="11"/>
      <c r="L38" s="12" t="str">
        <f aca="false">IF(B38="","",IF(LEFT(TRIM(B38),2)="ال",MID(TRIM(B38),3,1),LEFT(TRIM(B38),1)))</f>
        <v>أ</v>
      </c>
      <c r="M38" s="7" t="n">
        <f aca="false">IF(B38="","",LEN(TRIM(B38))-LEN(SUBSTITUTE(TRIM(B38)," ",""))+1)</f>
        <v>3</v>
      </c>
      <c r="N38" s="10" t="s">
        <v>35</v>
      </c>
    </row>
    <row r="39" customFormat="false" ht="15" hidden="false" customHeight="false" outlineLevel="0" collapsed="false">
      <c r="A39" s="7" t="n">
        <v>38</v>
      </c>
      <c r="B39" s="8" t="s">
        <v>150</v>
      </c>
      <c r="C39" s="9" t="s">
        <v>151</v>
      </c>
      <c r="D39" s="10" t="s">
        <v>30</v>
      </c>
      <c r="E39" s="10" t="n">
        <v>1969</v>
      </c>
      <c r="F39" s="7" t="str">
        <f aca="false">IF(E39="","",IF(E39&lt;1970,"Abyad w eswed",IF(E39&lt;2000,"70s-90s",IF(E39&lt;2015,"2000s","Gedeed"))))</f>
        <v>Abyad w eswed</v>
      </c>
      <c r="G39" s="10" t="s">
        <v>45</v>
      </c>
      <c r="H39" s="9" t="s">
        <v>53</v>
      </c>
      <c r="I39" s="11" t="s">
        <v>152</v>
      </c>
      <c r="J39" s="11" t="s">
        <v>153</v>
      </c>
      <c r="K39" s="11" t="s">
        <v>154</v>
      </c>
      <c r="L39" s="12" t="str">
        <f aca="false">IF(B39="","",IF(LEFT(TRIM(B39),2)="ال",MID(TRIM(B39),3,1),LEFT(TRIM(B39),1)))</f>
        <v>ش</v>
      </c>
      <c r="M39" s="7" t="n">
        <f aca="false">IF(B39="","",LEN(TRIM(B39))-LEN(SUBSTITUTE(TRIM(B39)," ",""))+1)</f>
        <v>3</v>
      </c>
      <c r="N39" s="10" t="s">
        <v>35</v>
      </c>
    </row>
    <row r="40" customFormat="false" ht="15" hidden="false" customHeight="false" outlineLevel="0" collapsed="false">
      <c r="A40" s="7" t="n">
        <v>39</v>
      </c>
      <c r="B40" s="8" t="s">
        <v>155</v>
      </c>
      <c r="C40" s="9" t="s">
        <v>156</v>
      </c>
      <c r="D40" s="10" t="s">
        <v>30</v>
      </c>
      <c r="E40" s="10" t="n">
        <v>1969</v>
      </c>
      <c r="F40" s="7" t="str">
        <f aca="false">IF(E40="","",IF(E40&lt;1970,"Abyad w eswed",IF(E40&lt;2000,"70s-90s",IF(E40&lt;2015,"2000s","Gedeed"))))</f>
        <v>Abyad w eswed</v>
      </c>
      <c r="G40" s="10" t="s">
        <v>45</v>
      </c>
      <c r="H40" s="9" t="s">
        <v>32</v>
      </c>
      <c r="I40" s="11" t="s">
        <v>101</v>
      </c>
      <c r="J40" s="11"/>
      <c r="K40" s="11"/>
      <c r="L40" s="12" t="str">
        <f aca="false">IF(B40="","",IF(LEFT(TRIM(B40),2)="ال",MID(TRIM(B40),3,1),LEFT(TRIM(B40),1)))</f>
        <v>ن</v>
      </c>
      <c r="M40" s="7" t="n">
        <f aca="false">IF(B40="","",LEN(TRIM(B40))-LEN(SUBSTITUTE(TRIM(B40)," ",""))+1)</f>
        <v>3</v>
      </c>
      <c r="N40" s="10" t="s">
        <v>35</v>
      </c>
    </row>
    <row r="41" customFormat="false" ht="15" hidden="false" customHeight="false" outlineLevel="0" collapsed="false">
      <c r="A41" s="7" t="n">
        <v>40</v>
      </c>
      <c r="B41" s="8" t="s">
        <v>157</v>
      </c>
      <c r="C41" s="9" t="s">
        <v>158</v>
      </c>
      <c r="D41" s="10" t="s">
        <v>30</v>
      </c>
      <c r="E41" s="10" t="n">
        <v>1970</v>
      </c>
      <c r="F41" s="7" t="str">
        <f aca="false">IF(E41="","",IF(E41&lt;1970,"Abyad w eswed",IF(E41&lt;2000,"70s-90s",IF(E41&lt;2015,"2000s","Gedeed"))))</f>
        <v>70s-90s</v>
      </c>
      <c r="G41" s="10" t="s">
        <v>31</v>
      </c>
      <c r="H41" s="9" t="s">
        <v>53</v>
      </c>
      <c r="I41" s="11" t="s">
        <v>159</v>
      </c>
      <c r="J41" s="11" t="s">
        <v>160</v>
      </c>
      <c r="K41" s="11"/>
      <c r="L41" s="12" t="str">
        <f aca="false">IF(B41="","",IF(LEFT(TRIM(B41),2)="ال",MID(TRIM(B41),3,1),LEFT(TRIM(B41),1)))</f>
        <v>أ</v>
      </c>
      <c r="M41" s="7" t="n">
        <f aca="false">IF(B41="","",LEN(TRIM(B41))-LEN(SUBSTITUTE(TRIM(B41)," ",""))+1)</f>
        <v>1</v>
      </c>
      <c r="N41" s="10" t="s">
        <v>35</v>
      </c>
    </row>
    <row r="42" customFormat="false" ht="15" hidden="false" customHeight="false" outlineLevel="0" collapsed="false">
      <c r="A42" s="7" t="n">
        <v>41</v>
      </c>
      <c r="B42" s="8" t="s">
        <v>161</v>
      </c>
      <c r="C42" s="9" t="s">
        <v>162</v>
      </c>
      <c r="D42" s="10" t="s">
        <v>30</v>
      </c>
      <c r="E42" s="10" t="n">
        <v>1971</v>
      </c>
      <c r="F42" s="7" t="str">
        <f aca="false">IF(E42="","",IF(E42&lt;1970,"Abyad w eswed",IF(E42&lt;2000,"70s-90s",IF(E42&lt;2015,"2000s","Gedeed"))))</f>
        <v>70s-90s</v>
      </c>
      <c r="G42" s="10" t="s">
        <v>31</v>
      </c>
      <c r="H42" s="9" t="s">
        <v>53</v>
      </c>
      <c r="I42" s="11" t="s">
        <v>108</v>
      </c>
      <c r="J42" s="11"/>
      <c r="K42" s="11"/>
      <c r="L42" s="12" t="str">
        <f aca="false">IF(B42="","",IF(LEFT(TRIM(B42),2)="ال",MID(TRIM(B42),3,1),LEFT(TRIM(B42),1)))</f>
        <v>ث</v>
      </c>
      <c r="M42" s="7" t="n">
        <f aca="false">IF(B42="","",LEN(TRIM(B42))-LEN(SUBSTITUTE(TRIM(B42)," ",""))+1)</f>
        <v>3</v>
      </c>
      <c r="N42" s="10" t="s">
        <v>35</v>
      </c>
    </row>
    <row r="43" customFormat="false" ht="15" hidden="false" customHeight="false" outlineLevel="0" collapsed="false">
      <c r="A43" s="7" t="n">
        <v>42</v>
      </c>
      <c r="B43" s="8" t="s">
        <v>163</v>
      </c>
      <c r="C43" s="9" t="s">
        <v>164</v>
      </c>
      <c r="D43" s="10" t="s">
        <v>30</v>
      </c>
      <c r="E43" s="10" t="n">
        <v>1972</v>
      </c>
      <c r="F43" s="7" t="str">
        <f aca="false">IF(E43="","",IF(E43&lt;1970,"Abyad w eswed",IF(E43&lt;2000,"70s-90s",IF(E43&lt;2015,"2000s","Gedeed"))))</f>
        <v>70s-90s</v>
      </c>
      <c r="G43" s="10" t="s">
        <v>45</v>
      </c>
      <c r="H43" s="9" t="s">
        <v>53</v>
      </c>
      <c r="I43" s="11" t="s">
        <v>54</v>
      </c>
      <c r="J43" s="11"/>
      <c r="K43" s="11"/>
      <c r="L43" s="12" t="str">
        <f aca="false">IF(B43="","",IF(LEFT(TRIM(B43),2)="ال",MID(TRIM(B43),3,1),LEFT(TRIM(B43),1)))</f>
        <v>إ</v>
      </c>
      <c r="M43" s="7" t="n">
        <f aca="false">IF(B43="","",LEN(TRIM(B43))-LEN(SUBSTITUTE(TRIM(B43)," ",""))+1)</f>
        <v>2</v>
      </c>
      <c r="N43" s="10" t="s">
        <v>35</v>
      </c>
    </row>
    <row r="44" customFormat="false" ht="15" hidden="false" customHeight="false" outlineLevel="0" collapsed="false">
      <c r="A44" s="7" t="n">
        <v>43</v>
      </c>
      <c r="B44" s="8" t="s">
        <v>165</v>
      </c>
      <c r="C44" s="9" t="s">
        <v>166</v>
      </c>
      <c r="D44" s="10" t="s">
        <v>30</v>
      </c>
      <c r="E44" s="10" t="n">
        <v>1972</v>
      </c>
      <c r="F44" s="7" t="str">
        <f aca="false">IF(E44="","",IF(E44&lt;1970,"Abyad w eswed",IF(E44&lt;2000,"70s-90s",IF(E44&lt;2015,"2000s","Gedeed"))))</f>
        <v>70s-90s</v>
      </c>
      <c r="G44" s="10" t="s">
        <v>57</v>
      </c>
      <c r="H44" s="9" t="s">
        <v>40</v>
      </c>
      <c r="I44" s="11" t="s">
        <v>95</v>
      </c>
      <c r="J44" s="11" t="s">
        <v>167</v>
      </c>
      <c r="K44" s="11"/>
      <c r="L44" s="12" t="str">
        <f aca="false">IF(B44="","",IF(LEFT(TRIM(B44),2)="ال",MID(TRIM(B44),3,1),LEFT(TRIM(B44),1)))</f>
        <v>خ</v>
      </c>
      <c r="M44" s="7" t="n">
        <f aca="false">IF(B44="","",LEN(TRIM(B44))-LEN(SUBSTITUTE(TRIM(B44)," ",""))+1)</f>
        <v>4</v>
      </c>
      <c r="N44" s="10" t="s">
        <v>35</v>
      </c>
    </row>
    <row r="45" customFormat="false" ht="15" hidden="false" customHeight="false" outlineLevel="0" collapsed="false">
      <c r="A45" s="7" t="n">
        <v>44</v>
      </c>
      <c r="B45" s="8" t="s">
        <v>168</v>
      </c>
      <c r="C45" s="9" t="s">
        <v>169</v>
      </c>
      <c r="D45" s="10" t="s">
        <v>30</v>
      </c>
      <c r="E45" s="10" t="n">
        <v>1973</v>
      </c>
      <c r="F45" s="7" t="str">
        <f aca="false">IF(E45="","",IF(E45&lt;1970,"Abyad w eswed",IF(E45&lt;2000,"70s-90s",IF(E45&lt;2015,"2000s","Gedeed"))))</f>
        <v>70s-90s</v>
      </c>
      <c r="G45" s="10" t="s">
        <v>31</v>
      </c>
      <c r="H45" s="9" t="s">
        <v>53</v>
      </c>
      <c r="I45" s="11" t="s">
        <v>122</v>
      </c>
      <c r="J45" s="11"/>
      <c r="K45" s="11"/>
      <c r="L45" s="12" t="str">
        <f aca="false">IF(B45="","",IF(LEFT(TRIM(B45),2)="ال",MID(TRIM(B45),3,1),LEFT(TRIM(B45),1)))</f>
        <v>س</v>
      </c>
      <c r="M45" s="7" t="n">
        <f aca="false">IF(B45="","",LEN(TRIM(B45))-LEN(SUBSTITUTE(TRIM(B45)," ",""))+1)</f>
        <v>1</v>
      </c>
      <c r="N45" s="10" t="s">
        <v>35</v>
      </c>
    </row>
    <row r="46" customFormat="false" ht="15" hidden="false" customHeight="false" outlineLevel="0" collapsed="false">
      <c r="A46" s="7" t="n">
        <v>45</v>
      </c>
      <c r="B46" s="8" t="s">
        <v>170</v>
      </c>
      <c r="C46" s="9" t="s">
        <v>171</v>
      </c>
      <c r="D46" s="10" t="s">
        <v>30</v>
      </c>
      <c r="E46" s="10" t="n">
        <v>1974</v>
      </c>
      <c r="F46" s="7" t="str">
        <f aca="false">IF(E46="","",IF(E46&lt;1970,"Abyad w eswed",IF(E46&lt;2000,"70s-90s",IF(E46&lt;2015,"2000s","Gedeed"))))</f>
        <v>70s-90s</v>
      </c>
      <c r="G46" s="10" t="s">
        <v>45</v>
      </c>
      <c r="H46" s="9" t="s">
        <v>32</v>
      </c>
      <c r="I46" s="11" t="s">
        <v>172</v>
      </c>
      <c r="J46" s="11"/>
      <c r="K46" s="11"/>
      <c r="L46" s="12" t="str">
        <f aca="false">IF(B46="","",IF(LEFT(TRIM(B46),2)="ال",MID(TRIM(B46),3,1),LEFT(TRIM(B46),1)))</f>
        <v>ح</v>
      </c>
      <c r="M46" s="7" t="n">
        <f aca="false">IF(B46="","",LEN(TRIM(B46))-LEN(SUBSTITUTE(TRIM(B46)," ",""))+1)</f>
        <v>1</v>
      </c>
      <c r="N46" s="10" t="s">
        <v>35</v>
      </c>
    </row>
    <row r="47" customFormat="false" ht="15" hidden="false" customHeight="false" outlineLevel="0" collapsed="false">
      <c r="A47" s="7" t="n">
        <v>46</v>
      </c>
      <c r="B47" s="8" t="s">
        <v>173</v>
      </c>
      <c r="C47" s="9" t="s">
        <v>174</v>
      </c>
      <c r="D47" s="10" t="s">
        <v>30</v>
      </c>
      <c r="E47" s="10" t="n">
        <v>1975</v>
      </c>
      <c r="F47" s="7" t="str">
        <f aca="false">IF(E47="","",IF(E47&lt;1970,"Abyad w eswed",IF(E47&lt;2000,"70s-90s",IF(E47&lt;2015,"2000s","Gedeed"))))</f>
        <v>70s-90s</v>
      </c>
      <c r="G47" s="10" t="s">
        <v>31</v>
      </c>
      <c r="H47" s="9" t="s">
        <v>53</v>
      </c>
      <c r="I47" s="11" t="s">
        <v>54</v>
      </c>
      <c r="J47" s="11"/>
      <c r="K47" s="11"/>
      <c r="L47" s="12" t="str">
        <f aca="false">IF(B47="","",IF(LEFT(TRIM(B47),2)="ال",MID(TRIM(B47),3,1),LEFT(TRIM(B47),1)))</f>
        <v>أ</v>
      </c>
      <c r="M47" s="7" t="n">
        <f aca="false">IF(B47="","",LEN(TRIM(B47))-LEN(SUBSTITUTE(TRIM(B47)," ",""))+1)</f>
        <v>2</v>
      </c>
      <c r="N47" s="10" t="s">
        <v>35</v>
      </c>
    </row>
    <row r="48" customFormat="false" ht="15" hidden="false" customHeight="false" outlineLevel="0" collapsed="false">
      <c r="A48" s="7" t="n">
        <v>47</v>
      </c>
      <c r="B48" s="8" t="s">
        <v>175</v>
      </c>
      <c r="C48" s="9" t="s">
        <v>176</v>
      </c>
      <c r="D48" s="10" t="s">
        <v>30</v>
      </c>
      <c r="E48" s="10" t="n">
        <v>1975</v>
      </c>
      <c r="F48" s="7" t="str">
        <f aca="false">IF(E48="","",IF(E48&lt;1970,"Abyad w eswed",IF(E48&lt;2000,"70s-90s",IF(E48&lt;2015,"2000s","Gedeed"))))</f>
        <v>70s-90s</v>
      </c>
      <c r="G48" s="10" t="s">
        <v>31</v>
      </c>
      <c r="H48" s="9" t="s">
        <v>53</v>
      </c>
      <c r="I48" s="11" t="s">
        <v>95</v>
      </c>
      <c r="J48" s="11"/>
      <c r="K48" s="11"/>
      <c r="L48" s="12" t="str">
        <f aca="false">IF(B48="","",IF(LEFT(TRIM(B48),2)="ال",MID(TRIM(B48),3,1),LEFT(TRIM(B48),1)))</f>
        <v>ك</v>
      </c>
      <c r="M48" s="7" t="n">
        <f aca="false">IF(B48="","",LEN(TRIM(B48))-LEN(SUBSTITUTE(TRIM(B48)," ",""))+1)</f>
        <v>1</v>
      </c>
      <c r="N48" s="10" t="s">
        <v>35</v>
      </c>
    </row>
    <row r="49" customFormat="false" ht="15" hidden="false" customHeight="false" outlineLevel="0" collapsed="false">
      <c r="A49" s="7" t="n">
        <v>48</v>
      </c>
      <c r="B49" s="8" t="s">
        <v>177</v>
      </c>
      <c r="C49" s="9" t="s">
        <v>178</v>
      </c>
      <c r="D49" s="10" t="s">
        <v>30</v>
      </c>
      <c r="E49" s="10" t="n">
        <v>1977</v>
      </c>
      <c r="F49" s="7" t="str">
        <f aca="false">IF(E49="","",IF(E49&lt;1970,"Abyad w eswed",IF(E49&lt;2000,"70s-90s",IF(E49&lt;2015,"2000s","Gedeed"))))</f>
        <v>70s-90s</v>
      </c>
      <c r="G49" s="10" t="s">
        <v>45</v>
      </c>
      <c r="H49" s="9" t="s">
        <v>53</v>
      </c>
      <c r="I49" s="11" t="s">
        <v>54</v>
      </c>
      <c r="J49" s="11" t="s">
        <v>179</v>
      </c>
      <c r="K49" s="11"/>
      <c r="L49" s="12" t="str">
        <f aca="false">IF(B49="","",IF(LEFT(TRIM(B49),2)="ال",MID(TRIM(B49),3,1),LEFT(TRIM(B49),1)))</f>
        <v>أ</v>
      </c>
      <c r="M49" s="7" t="n">
        <f aca="false">IF(B49="","",LEN(TRIM(B49))-LEN(SUBSTITUTE(TRIM(B49)," ",""))+1)</f>
        <v>2</v>
      </c>
      <c r="N49" s="10" t="s">
        <v>35</v>
      </c>
    </row>
    <row r="50" customFormat="false" ht="15" hidden="false" customHeight="false" outlineLevel="0" collapsed="false">
      <c r="A50" s="7" t="n">
        <v>49</v>
      </c>
      <c r="B50" s="8" t="s">
        <v>180</v>
      </c>
      <c r="C50" s="9" t="s">
        <v>181</v>
      </c>
      <c r="D50" s="10" t="s">
        <v>30</v>
      </c>
      <c r="E50" s="10" t="n">
        <v>1977</v>
      </c>
      <c r="F50" s="7" t="str">
        <f aca="false">IF(E50="","",IF(E50&lt;1970,"Abyad w eswed",IF(E50&lt;2000,"70s-90s",IF(E50&lt;2015,"2000s","Gedeed"))))</f>
        <v>70s-90s</v>
      </c>
      <c r="G50" s="10" t="s">
        <v>31</v>
      </c>
      <c r="H50" s="9" t="s">
        <v>53</v>
      </c>
      <c r="I50" s="11" t="s">
        <v>182</v>
      </c>
      <c r="J50" s="11"/>
      <c r="K50" s="11"/>
      <c r="L50" s="12" t="str">
        <f aca="false">IF(B50="","",IF(LEFT(TRIM(B50),2)="ال",MID(TRIM(B50),3,1),LEFT(TRIM(B50),1)))</f>
        <v>س</v>
      </c>
      <c r="M50" s="7" t="n">
        <f aca="false">IF(B50="","",LEN(TRIM(B50))-LEN(SUBSTITUTE(TRIM(B50)," ",""))+1)</f>
        <v>2</v>
      </c>
      <c r="N50" s="10" t="s">
        <v>35</v>
      </c>
    </row>
    <row r="51" customFormat="false" ht="15" hidden="false" customHeight="false" outlineLevel="0" collapsed="false">
      <c r="A51" s="7" t="n">
        <v>50</v>
      </c>
      <c r="B51" s="8" t="s">
        <v>183</v>
      </c>
      <c r="C51" s="9" t="s">
        <v>184</v>
      </c>
      <c r="D51" s="10" t="s">
        <v>30</v>
      </c>
      <c r="E51" s="10" t="n">
        <v>1978</v>
      </c>
      <c r="F51" s="7" t="str">
        <f aca="false">IF(E51="","",IF(E51&lt;1970,"Abyad w eswed",IF(E51&lt;2000,"70s-90s",IF(E51&lt;2015,"2000s","Gedeed"))))</f>
        <v>70s-90s</v>
      </c>
      <c r="G51" s="10" t="s">
        <v>45</v>
      </c>
      <c r="H51" s="9" t="s">
        <v>53</v>
      </c>
      <c r="I51" s="11" t="s">
        <v>95</v>
      </c>
      <c r="J51" s="11" t="s">
        <v>185</v>
      </c>
      <c r="K51" s="11"/>
      <c r="L51" s="12" t="str">
        <f aca="false">IF(B51="","",IF(LEFT(TRIM(B51),2)="ال",MID(TRIM(B51),3,1),LEFT(TRIM(B51),1)))</f>
        <v>ش</v>
      </c>
      <c r="M51" s="7" t="n">
        <f aca="false">IF(B51="","",LEN(TRIM(B51))-LEN(SUBSTITUTE(TRIM(B51)," ",""))+1)</f>
        <v>2</v>
      </c>
      <c r="N51" s="10" t="s">
        <v>35</v>
      </c>
    </row>
    <row r="52" customFormat="false" ht="15" hidden="false" customHeight="false" outlineLevel="0" collapsed="false">
      <c r="A52" s="7" t="n">
        <v>51</v>
      </c>
      <c r="B52" s="8" t="s">
        <v>186</v>
      </c>
      <c r="C52" s="9" t="s">
        <v>187</v>
      </c>
      <c r="D52" s="10" t="s">
        <v>30</v>
      </c>
      <c r="E52" s="10" t="n">
        <v>1979</v>
      </c>
      <c r="F52" s="7" t="str">
        <f aca="false">IF(E52="","",IF(E52&lt;1970,"Abyad w eswed",IF(E52&lt;2000,"70s-90s",IF(E52&lt;2015,"2000s","Gedeed"))))</f>
        <v>70s-90s</v>
      </c>
      <c r="G52" s="10" t="s">
        <v>31</v>
      </c>
      <c r="H52" s="9" t="s">
        <v>53</v>
      </c>
      <c r="I52" s="11" t="s">
        <v>188</v>
      </c>
      <c r="J52" s="11"/>
      <c r="K52" s="11"/>
      <c r="L52" s="12" t="str">
        <f aca="false">IF(B52="","",IF(LEFT(TRIM(B52),2)="ال",MID(TRIM(B52),3,1),LEFT(TRIM(B52),1)))</f>
        <v>إ</v>
      </c>
      <c r="M52" s="7" t="n">
        <f aca="false">IF(B52="","",LEN(TRIM(B52))-LEN(SUBSTITUTE(TRIM(B52)," ",""))+1)</f>
        <v>2</v>
      </c>
      <c r="N52" s="10" t="s">
        <v>35</v>
      </c>
    </row>
    <row r="53" customFormat="false" ht="15" hidden="false" customHeight="false" outlineLevel="0" collapsed="false">
      <c r="A53" s="7" t="n">
        <v>52</v>
      </c>
      <c r="B53" s="8" t="s">
        <v>189</v>
      </c>
      <c r="C53" s="9" t="s">
        <v>190</v>
      </c>
      <c r="D53" s="10" t="s">
        <v>30</v>
      </c>
      <c r="E53" s="10" t="n">
        <v>1980</v>
      </c>
      <c r="F53" s="7" t="str">
        <f aca="false">IF(E53="","",IF(E53&lt;1970,"Abyad w eswed",IF(E53&lt;2000,"70s-90s",IF(E53&lt;2015,"2000s","Gedeed"))))</f>
        <v>70s-90s</v>
      </c>
      <c r="G53" s="10" t="s">
        <v>45</v>
      </c>
      <c r="H53" s="9" t="s">
        <v>104</v>
      </c>
      <c r="I53" s="11" t="s">
        <v>191</v>
      </c>
      <c r="J53" s="11"/>
      <c r="K53" s="11"/>
      <c r="L53" s="12" t="str">
        <f aca="false">IF(B53="","",IF(LEFT(TRIM(B53),2)="ال",MID(TRIM(B53),3,1),LEFT(TRIM(B53),1)))</f>
        <v>ب</v>
      </c>
      <c r="M53" s="7" t="n">
        <f aca="false">IF(B53="","",LEN(TRIM(B53))-LEN(SUBSTITUTE(TRIM(B53)," ",""))+1)</f>
        <v>1</v>
      </c>
      <c r="N53" s="10" t="s">
        <v>35</v>
      </c>
    </row>
    <row r="54" customFormat="false" ht="15" hidden="false" customHeight="false" outlineLevel="0" collapsed="false">
      <c r="A54" s="7" t="n">
        <v>53</v>
      </c>
      <c r="B54" s="8" t="s">
        <v>192</v>
      </c>
      <c r="C54" s="9" t="s">
        <v>193</v>
      </c>
      <c r="D54" s="10" t="s">
        <v>30</v>
      </c>
      <c r="E54" s="10" t="n">
        <v>1981</v>
      </c>
      <c r="F54" s="7" t="str">
        <f aca="false">IF(E54="","",IF(E54&lt;1970,"Abyad w eswed",IF(E54&lt;2000,"70s-90s",IF(E54&lt;2015,"2000s","Gedeed"))))</f>
        <v>70s-90s</v>
      </c>
      <c r="G54" s="10" t="s">
        <v>45</v>
      </c>
      <c r="H54" s="9" t="s">
        <v>104</v>
      </c>
      <c r="I54" s="11" t="s">
        <v>194</v>
      </c>
      <c r="J54" s="11" t="s">
        <v>195</v>
      </c>
      <c r="K54" s="11"/>
      <c r="L54" s="12" t="str">
        <f aca="false">IF(B54="","",IF(LEFT(TRIM(B54),2)="ال",MID(TRIM(B54),3,1),LEFT(TRIM(B54),1)))</f>
        <v>م</v>
      </c>
      <c r="M54" s="7" t="n">
        <f aca="false">IF(B54="","",LEN(TRIM(B54))-LEN(SUBSTITUTE(TRIM(B54)," ",""))+1)</f>
        <v>1</v>
      </c>
      <c r="N54" s="10" t="s">
        <v>35</v>
      </c>
    </row>
    <row r="55" customFormat="false" ht="15" hidden="false" customHeight="false" outlineLevel="0" collapsed="false">
      <c r="A55" s="7" t="n">
        <v>54</v>
      </c>
      <c r="B55" s="8" t="s">
        <v>196</v>
      </c>
      <c r="C55" s="9" t="s">
        <v>197</v>
      </c>
      <c r="D55" s="10" t="s">
        <v>30</v>
      </c>
      <c r="E55" s="10" t="n">
        <v>1982</v>
      </c>
      <c r="F55" s="7" t="str">
        <f aca="false">IF(E55="","",IF(E55&lt;1970,"Abyad w eswed",IF(E55&lt;2000,"70s-90s",IF(E55&lt;2015,"2000s","Gedeed"))))</f>
        <v>70s-90s</v>
      </c>
      <c r="G55" s="10" t="s">
        <v>45</v>
      </c>
      <c r="H55" s="9" t="s">
        <v>53</v>
      </c>
      <c r="I55" s="11" t="s">
        <v>198</v>
      </c>
      <c r="J55" s="11"/>
      <c r="K55" s="11"/>
      <c r="L55" s="12" t="str">
        <f aca="false">IF(B55="","",IF(LEFT(TRIM(B55),2)="ال",MID(TRIM(B55),3,1),LEFT(TRIM(B55),1)))</f>
        <v>ع</v>
      </c>
      <c r="M55" s="7" t="n">
        <f aca="false">IF(B55="","",LEN(TRIM(B55))-LEN(SUBSTITUTE(TRIM(B55)," ",""))+1)</f>
        <v>1</v>
      </c>
      <c r="N55" s="10" t="s">
        <v>35</v>
      </c>
    </row>
    <row r="56" customFormat="false" ht="15" hidden="false" customHeight="false" outlineLevel="0" collapsed="false">
      <c r="A56" s="7" t="n">
        <v>55</v>
      </c>
      <c r="B56" s="8" t="s">
        <v>199</v>
      </c>
      <c r="C56" s="9" t="s">
        <v>200</v>
      </c>
      <c r="D56" s="10" t="s">
        <v>30</v>
      </c>
      <c r="E56" s="10" t="n">
        <v>1982</v>
      </c>
      <c r="F56" s="7" t="str">
        <f aca="false">IF(E56="","",IF(E56&lt;1970,"Abyad w eswed",IF(E56&lt;2000,"70s-90s",IF(E56&lt;2015,"2000s","Gedeed"))))</f>
        <v>70s-90s</v>
      </c>
      <c r="G56" s="10" t="s">
        <v>31</v>
      </c>
      <c r="H56" s="9" t="s">
        <v>53</v>
      </c>
      <c r="I56" s="11" t="s">
        <v>198</v>
      </c>
      <c r="J56" s="11" t="s">
        <v>201</v>
      </c>
      <c r="K56" s="11"/>
      <c r="L56" s="12" t="str">
        <f aca="false">IF(B56="","",IF(LEFT(TRIM(B56),2)="ال",MID(TRIM(B56),3,1),LEFT(TRIM(B56),1)))</f>
        <v>س</v>
      </c>
      <c r="M56" s="7" t="n">
        <f aca="false">IF(B56="","",LEN(TRIM(B56))-LEN(SUBSTITUTE(TRIM(B56)," ",""))+1)</f>
        <v>2</v>
      </c>
      <c r="N56" s="10" t="s">
        <v>35</v>
      </c>
    </row>
    <row r="57" customFormat="false" ht="15" hidden="false" customHeight="false" outlineLevel="0" collapsed="false">
      <c r="A57" s="7" t="n">
        <v>56</v>
      </c>
      <c r="B57" s="8" t="s">
        <v>202</v>
      </c>
      <c r="C57" s="9" t="s">
        <v>203</v>
      </c>
      <c r="D57" s="10" t="s">
        <v>30</v>
      </c>
      <c r="E57" s="10" t="n">
        <v>1982</v>
      </c>
      <c r="F57" s="7" t="str">
        <f aca="false">IF(E57="","",IF(E57&lt;1970,"Abyad w eswed",IF(E57&lt;2000,"70s-90s",IF(E57&lt;2015,"2000s","Gedeed"))))</f>
        <v>70s-90s</v>
      </c>
      <c r="G57" s="10" t="s">
        <v>45</v>
      </c>
      <c r="H57" s="9" t="s">
        <v>32</v>
      </c>
      <c r="I57" s="11" t="s">
        <v>194</v>
      </c>
      <c r="J57" s="11" t="s">
        <v>204</v>
      </c>
      <c r="K57" s="11"/>
      <c r="L57" s="12" t="str">
        <f aca="false">IF(B57="","",IF(LEFT(TRIM(B57),2)="ال",MID(TRIM(B57),3,1),LEFT(TRIM(B57),1)))</f>
        <v>ع</v>
      </c>
      <c r="M57" s="7" t="n">
        <f aca="false">IF(B57="","",LEN(TRIM(B57))-LEN(SUBSTITUTE(TRIM(B57)," ",""))+1)</f>
        <v>3</v>
      </c>
      <c r="N57" s="10" t="s">
        <v>35</v>
      </c>
    </row>
    <row r="58" customFormat="false" ht="15" hidden="false" customHeight="false" outlineLevel="0" collapsed="false">
      <c r="A58" s="7" t="n">
        <v>57</v>
      </c>
      <c r="B58" s="8" t="s">
        <v>205</v>
      </c>
      <c r="C58" s="9" t="s">
        <v>206</v>
      </c>
      <c r="D58" s="10" t="s">
        <v>30</v>
      </c>
      <c r="E58" s="10" t="n">
        <v>1982</v>
      </c>
      <c r="F58" s="7" t="str">
        <f aca="false">IF(E58="","",IF(E58&lt;1970,"Abyad w eswed",IF(E58&lt;2000,"70s-90s",IF(E58&lt;2015,"2000s","Gedeed"))))</f>
        <v>70s-90s</v>
      </c>
      <c r="G58" s="10" t="s">
        <v>45</v>
      </c>
      <c r="H58" s="9" t="s">
        <v>32</v>
      </c>
      <c r="I58" s="11" t="s">
        <v>194</v>
      </c>
      <c r="J58" s="11"/>
      <c r="K58" s="11"/>
      <c r="L58" s="12" t="str">
        <f aca="false">IF(B58="","",IF(LEFT(TRIM(B58),2)="ال",MID(TRIM(B58),3,1),LEFT(TRIM(B58),1)))</f>
        <v>ع</v>
      </c>
      <c r="M58" s="7" t="n">
        <f aca="false">IF(B58="","",LEN(TRIM(B58))-LEN(SUBSTITUTE(TRIM(B58)," ",""))+1)</f>
        <v>3</v>
      </c>
      <c r="N58" s="10" t="s">
        <v>35</v>
      </c>
    </row>
    <row r="59" customFormat="false" ht="15" hidden="false" customHeight="false" outlineLevel="0" collapsed="false">
      <c r="A59" s="7" t="n">
        <v>58</v>
      </c>
      <c r="B59" s="8" t="s">
        <v>207</v>
      </c>
      <c r="C59" s="9" t="s">
        <v>208</v>
      </c>
      <c r="D59" s="10" t="s">
        <v>30</v>
      </c>
      <c r="E59" s="10" t="n">
        <v>1983</v>
      </c>
      <c r="F59" s="7" t="str">
        <f aca="false">IF(E59="","",IF(E59&lt;1970,"Abyad w eswed",IF(E59&lt;2000,"70s-90s",IF(E59&lt;2015,"2000s","Gedeed"))))</f>
        <v>70s-90s</v>
      </c>
      <c r="G59" s="10" t="s">
        <v>31</v>
      </c>
      <c r="H59" s="9" t="s">
        <v>53</v>
      </c>
      <c r="I59" s="11" t="s">
        <v>194</v>
      </c>
      <c r="J59" s="11"/>
      <c r="K59" s="11"/>
      <c r="L59" s="12" t="str">
        <f aca="false">IF(B59="","",IF(LEFT(TRIM(B59),2)="ال",MID(TRIM(B59),3,1),LEFT(TRIM(B59),1)))</f>
        <v>غ</v>
      </c>
      <c r="M59" s="7" t="n">
        <f aca="false">IF(B59="","",LEN(TRIM(B59))-LEN(SUBSTITUTE(TRIM(B59)," ",""))+1)</f>
        <v>1</v>
      </c>
      <c r="N59" s="10" t="s">
        <v>42</v>
      </c>
    </row>
    <row r="60" customFormat="false" ht="15" hidden="false" customHeight="false" outlineLevel="0" collapsed="false">
      <c r="A60" s="7" t="n">
        <v>59</v>
      </c>
      <c r="B60" s="8" t="s">
        <v>209</v>
      </c>
      <c r="C60" s="9" t="s">
        <v>210</v>
      </c>
      <c r="D60" s="10" t="s">
        <v>30</v>
      </c>
      <c r="E60" s="10" t="n">
        <v>1983</v>
      </c>
      <c r="F60" s="7" t="str">
        <f aca="false">IF(E60="","",IF(E60&lt;1970,"Abyad w eswed",IF(E60&lt;2000,"70s-90s",IF(E60&lt;2015,"2000s","Gedeed"))))</f>
        <v>70s-90s</v>
      </c>
      <c r="G60" s="10" t="s">
        <v>45</v>
      </c>
      <c r="H60" s="9" t="s">
        <v>53</v>
      </c>
      <c r="I60" s="11" t="s">
        <v>194</v>
      </c>
      <c r="J60" s="11"/>
      <c r="K60" s="11"/>
      <c r="L60" s="12" t="str">
        <f aca="false">IF(B60="","",IF(LEFT(TRIM(B60),2)="ال",MID(TRIM(B60),3,1),LEFT(TRIM(B60),1)))</f>
        <v>ح</v>
      </c>
      <c r="M60" s="7" t="n">
        <f aca="false">IF(B60="","",LEN(TRIM(B60))-LEN(SUBSTITUTE(TRIM(B60)," ",""))+1)</f>
        <v>3</v>
      </c>
      <c r="N60" s="10" t="s">
        <v>35</v>
      </c>
    </row>
    <row r="61" customFormat="false" ht="15" hidden="false" customHeight="false" outlineLevel="0" collapsed="false">
      <c r="A61" s="7" t="n">
        <v>60</v>
      </c>
      <c r="B61" s="8" t="s">
        <v>211</v>
      </c>
      <c r="C61" s="9" t="s">
        <v>212</v>
      </c>
      <c r="D61" s="10" t="s">
        <v>30</v>
      </c>
      <c r="E61" s="10" t="n">
        <v>1984</v>
      </c>
      <c r="F61" s="7" t="str">
        <f aca="false">IF(E61="","",IF(E61&lt;1970,"Abyad w eswed",IF(E61&lt;2000,"70s-90s",IF(E61&lt;2015,"2000s","Gedeed"))))</f>
        <v>70s-90s</v>
      </c>
      <c r="G61" s="10" t="s">
        <v>31</v>
      </c>
      <c r="H61" s="9" t="s">
        <v>53</v>
      </c>
      <c r="I61" s="11" t="s">
        <v>198</v>
      </c>
      <c r="J61" s="11"/>
      <c r="K61" s="11"/>
      <c r="L61" s="12" t="str">
        <f aca="false">IF(B61="","",IF(LEFT(TRIM(B61),2)="ال",MID(TRIM(B61),3,1),LEFT(TRIM(B61),1)))</f>
        <v>آ</v>
      </c>
      <c r="M61" s="7" t="n">
        <f aca="false">IF(B61="","",LEN(TRIM(B61))-LEN(SUBSTITUTE(TRIM(B61)," ",""))+1)</f>
        <v>3</v>
      </c>
      <c r="N61" s="10" t="s">
        <v>35</v>
      </c>
    </row>
    <row r="62" customFormat="false" ht="15" hidden="false" customHeight="false" outlineLevel="0" collapsed="false">
      <c r="A62" s="7" t="n">
        <v>61</v>
      </c>
      <c r="B62" s="8" t="s">
        <v>213</v>
      </c>
      <c r="C62" s="9" t="s">
        <v>214</v>
      </c>
      <c r="D62" s="10" t="s">
        <v>30</v>
      </c>
      <c r="E62" s="10" t="n">
        <v>1984</v>
      </c>
      <c r="F62" s="7" t="str">
        <f aca="false">IF(E62="","",IF(E62&lt;1970,"Abyad w eswed",IF(E62&lt;2000,"70s-90s",IF(E62&lt;2015,"2000s","Gedeed"))))</f>
        <v>70s-90s</v>
      </c>
      <c r="G62" s="10" t="s">
        <v>45</v>
      </c>
      <c r="H62" s="9" t="s">
        <v>32</v>
      </c>
      <c r="I62" s="11" t="s">
        <v>194</v>
      </c>
      <c r="J62" s="11"/>
      <c r="K62" s="11"/>
      <c r="L62" s="12" t="str">
        <f aca="false">IF(B62="","",IF(LEFT(TRIM(B62),2)="ال",MID(TRIM(B62),3,1),LEFT(TRIM(B62),1)))</f>
        <v>ا</v>
      </c>
      <c r="M62" s="7" t="n">
        <f aca="false">IF(B62="","",LEN(TRIM(B62))-LEN(SUBSTITUTE(TRIM(B62)," ",""))+1)</f>
        <v>3</v>
      </c>
      <c r="N62" s="10" t="s">
        <v>35</v>
      </c>
    </row>
    <row r="63" customFormat="false" ht="15" hidden="false" customHeight="false" outlineLevel="0" collapsed="false">
      <c r="A63" s="7" t="n">
        <v>62</v>
      </c>
      <c r="B63" s="8" t="s">
        <v>215</v>
      </c>
      <c r="C63" s="9" t="s">
        <v>216</v>
      </c>
      <c r="D63" s="10" t="s">
        <v>30</v>
      </c>
      <c r="E63" s="10" t="n">
        <v>1984</v>
      </c>
      <c r="F63" s="7" t="str">
        <f aca="false">IF(E63="","",IF(E63&lt;1970,"Abyad w eswed",IF(E63&lt;2000,"70s-90s",IF(E63&lt;2015,"2000s","Gedeed"))))</f>
        <v>70s-90s</v>
      </c>
      <c r="G63" s="10" t="s">
        <v>57</v>
      </c>
      <c r="H63" s="9" t="s">
        <v>32</v>
      </c>
      <c r="I63" s="11" t="s">
        <v>194</v>
      </c>
      <c r="J63" s="11" t="s">
        <v>217</v>
      </c>
      <c r="K63" s="11"/>
      <c r="L63" s="12" t="str">
        <f aca="false">IF(B63="","",IF(LEFT(TRIM(B63),2)="ال",MID(TRIM(B63),3,1),LEFT(TRIM(B63),1)))</f>
        <v>أ</v>
      </c>
      <c r="M63" s="7" t="n">
        <f aca="false">IF(B63="","",LEN(TRIM(B63))-LEN(SUBSTITUTE(TRIM(B63)," ",""))+1)</f>
        <v>1</v>
      </c>
      <c r="N63" s="10" t="s">
        <v>35</v>
      </c>
    </row>
    <row r="64" customFormat="false" ht="15" hidden="false" customHeight="false" outlineLevel="0" collapsed="false">
      <c r="A64" s="7" t="n">
        <v>63</v>
      </c>
      <c r="B64" s="8" t="s">
        <v>218</v>
      </c>
      <c r="C64" s="9" t="s">
        <v>219</v>
      </c>
      <c r="D64" s="10" t="s">
        <v>30</v>
      </c>
      <c r="E64" s="10" t="n">
        <v>1984</v>
      </c>
      <c r="F64" s="7" t="str">
        <f aca="false">IF(E64="","",IF(E64&lt;1970,"Abyad w eswed",IF(E64&lt;2000,"70s-90s",IF(E64&lt;2015,"2000s","Gedeed"))))</f>
        <v>70s-90s</v>
      </c>
      <c r="G64" s="10" t="s">
        <v>45</v>
      </c>
      <c r="H64" s="9" t="s">
        <v>53</v>
      </c>
      <c r="I64" s="11" t="s">
        <v>194</v>
      </c>
      <c r="J64" s="11" t="s">
        <v>220</v>
      </c>
      <c r="K64" s="11"/>
      <c r="L64" s="12" t="str">
        <f aca="false">IF(B64="","",IF(LEFT(TRIM(B64),2)="ال",MID(TRIM(B64),3,1),LEFT(TRIM(B64),1)))</f>
        <v>ح</v>
      </c>
      <c r="M64" s="7" t="n">
        <f aca="false">IF(B64="","",LEN(TRIM(B64))-LEN(SUBSTITUTE(TRIM(B64)," ",""))+1)</f>
        <v>1</v>
      </c>
      <c r="N64" s="10" t="s">
        <v>35</v>
      </c>
    </row>
    <row r="65" customFormat="false" ht="15" hidden="false" customHeight="false" outlineLevel="0" collapsed="false">
      <c r="A65" s="7" t="n">
        <v>64</v>
      </c>
      <c r="B65" s="8" t="s">
        <v>221</v>
      </c>
      <c r="C65" s="9" t="s">
        <v>222</v>
      </c>
      <c r="D65" s="10" t="s">
        <v>30</v>
      </c>
      <c r="E65" s="10" t="n">
        <v>1984</v>
      </c>
      <c r="F65" s="7" t="str">
        <f aca="false">IF(E65="","",IF(E65&lt;1970,"Abyad w eswed",IF(E65&lt;2000,"70s-90s",IF(E65&lt;2015,"2000s","Gedeed"))))</f>
        <v>70s-90s</v>
      </c>
      <c r="G65" s="10" t="s">
        <v>45</v>
      </c>
      <c r="H65" s="9" t="s">
        <v>53</v>
      </c>
      <c r="I65" s="11" t="s">
        <v>223</v>
      </c>
      <c r="J65" s="11"/>
      <c r="K65" s="11"/>
      <c r="L65" s="12" t="str">
        <f aca="false">IF(B65="","",IF(LEFT(TRIM(B65),2)="ال",MID(TRIM(B65),3,1),LEFT(TRIM(B65),1)))</f>
        <v>ر</v>
      </c>
      <c r="M65" s="7" t="n">
        <f aca="false">IF(B65="","",LEN(TRIM(B65))-LEN(SUBSTITUTE(TRIM(B65)," ",""))+1)</f>
        <v>2</v>
      </c>
      <c r="N65" s="10" t="s">
        <v>35</v>
      </c>
    </row>
    <row r="66" customFormat="false" ht="15" hidden="false" customHeight="false" outlineLevel="0" collapsed="false">
      <c r="A66" s="7" t="n">
        <v>65</v>
      </c>
      <c r="B66" s="8" t="s">
        <v>224</v>
      </c>
      <c r="C66" s="9" t="s">
        <v>225</v>
      </c>
      <c r="D66" s="10" t="s">
        <v>30</v>
      </c>
      <c r="E66" s="10" t="n">
        <v>1985</v>
      </c>
      <c r="F66" s="7" t="str">
        <f aca="false">IF(E66="","",IF(E66&lt;1970,"Abyad w eswed",IF(E66&lt;2000,"70s-90s",IF(E66&lt;2015,"2000s","Gedeed"))))</f>
        <v>70s-90s</v>
      </c>
      <c r="G66" s="10" t="s">
        <v>45</v>
      </c>
      <c r="H66" s="9" t="s">
        <v>226</v>
      </c>
      <c r="I66" s="11" t="s">
        <v>194</v>
      </c>
      <c r="J66" s="11"/>
      <c r="K66" s="11"/>
      <c r="L66" s="12" t="str">
        <f aca="false">IF(B66="","",IF(LEFT(TRIM(B66),2)="ال",MID(TRIM(B66),3,1),LEFT(TRIM(B66),1)))</f>
        <v>إ</v>
      </c>
      <c r="M66" s="7" t="n">
        <f aca="false">IF(B66="","",LEN(TRIM(B66))-LEN(SUBSTITUTE(TRIM(B66)," ",""))+1)</f>
        <v>2</v>
      </c>
      <c r="N66" s="10" t="s">
        <v>35</v>
      </c>
    </row>
    <row r="67" customFormat="false" ht="15" hidden="false" customHeight="false" outlineLevel="0" collapsed="false">
      <c r="A67" s="7" t="n">
        <v>66</v>
      </c>
      <c r="B67" s="8" t="s">
        <v>227</v>
      </c>
      <c r="C67" s="9" t="s">
        <v>228</v>
      </c>
      <c r="D67" s="10" t="s">
        <v>30</v>
      </c>
      <c r="E67" s="10" t="n">
        <v>1985</v>
      </c>
      <c r="F67" s="7" t="str">
        <f aca="false">IF(E67="","",IF(E67&lt;1970,"Abyad w eswed",IF(E67&lt;2000,"70s-90s",IF(E67&lt;2015,"2000s","Gedeed"))))</f>
        <v>70s-90s</v>
      </c>
      <c r="G67" s="10" t="s">
        <v>57</v>
      </c>
      <c r="H67" s="9" t="s">
        <v>32</v>
      </c>
      <c r="I67" s="11" t="s">
        <v>229</v>
      </c>
      <c r="J67" s="11" t="s">
        <v>230</v>
      </c>
      <c r="K67" s="11"/>
      <c r="L67" s="12" t="str">
        <f aca="false">IF(B67="","",IF(LEFT(TRIM(B67),2)="ال",MID(TRIM(B67),3,1),LEFT(TRIM(B67),1)))</f>
        <v>ك</v>
      </c>
      <c r="M67" s="7" t="n">
        <f aca="false">IF(B67="","",LEN(TRIM(B67))-LEN(SUBSTITUTE(TRIM(B67)," ",""))+1)</f>
        <v>1</v>
      </c>
      <c r="N67" s="10" t="s">
        <v>35</v>
      </c>
    </row>
    <row r="68" customFormat="false" ht="15" hidden="false" customHeight="false" outlineLevel="0" collapsed="false">
      <c r="A68" s="7" t="n">
        <v>67</v>
      </c>
      <c r="B68" s="8" t="s">
        <v>231</v>
      </c>
      <c r="C68" s="9" t="s">
        <v>232</v>
      </c>
      <c r="D68" s="10" t="s">
        <v>30</v>
      </c>
      <c r="E68" s="10" t="n">
        <v>1985</v>
      </c>
      <c r="F68" s="7" t="str">
        <f aca="false">IF(E68="","",IF(E68&lt;1970,"Abyad w eswed",IF(E68&lt;2000,"70s-90s",IF(E68&lt;2015,"2000s","Gedeed"))))</f>
        <v>70s-90s</v>
      </c>
      <c r="G68" s="10" t="s">
        <v>45</v>
      </c>
      <c r="H68" s="9" t="s">
        <v>32</v>
      </c>
      <c r="I68" s="11" t="s">
        <v>194</v>
      </c>
      <c r="J68" s="11"/>
      <c r="K68" s="11"/>
      <c r="L68" s="12" t="str">
        <f aca="false">IF(B68="","",IF(LEFT(TRIM(B68),2)="ال",MID(TRIM(B68),3,1),LEFT(TRIM(B68),1)))</f>
        <v>ه</v>
      </c>
      <c r="M68" s="7" t="n">
        <f aca="false">IF(B68="","",LEN(TRIM(B68))-LEN(SUBSTITUTE(TRIM(B68)," ",""))+1)</f>
        <v>1</v>
      </c>
      <c r="N68" s="10" t="s">
        <v>42</v>
      </c>
    </row>
    <row r="69" customFormat="false" ht="15" hidden="false" customHeight="false" outlineLevel="0" collapsed="false">
      <c r="A69" s="7" t="n">
        <v>68</v>
      </c>
      <c r="B69" s="8" t="s">
        <v>233</v>
      </c>
      <c r="C69" s="9" t="s">
        <v>234</v>
      </c>
      <c r="D69" s="10" t="s">
        <v>30</v>
      </c>
      <c r="E69" s="10" t="n">
        <v>1985</v>
      </c>
      <c r="F69" s="7" t="str">
        <f aca="false">IF(E69="","",IF(E69&lt;1970,"Abyad w eswed",IF(E69&lt;2000,"70s-90s",IF(E69&lt;2015,"2000s","Gedeed"))))</f>
        <v>70s-90s</v>
      </c>
      <c r="G69" s="10" t="s">
        <v>45</v>
      </c>
      <c r="H69" s="9" t="s">
        <v>32</v>
      </c>
      <c r="I69" s="11" t="s">
        <v>194</v>
      </c>
      <c r="J69" s="11" t="s">
        <v>235</v>
      </c>
      <c r="K69" s="11"/>
      <c r="L69" s="12" t="str">
        <f aca="false">IF(B69="","",IF(LEFT(TRIM(B69),2)="ال",MID(TRIM(B69),3,1),LEFT(TRIM(B69),1)))</f>
        <v>ر</v>
      </c>
      <c r="M69" s="7" t="n">
        <f aca="false">IF(B69="","",LEN(TRIM(B69))-LEN(SUBSTITUTE(TRIM(B69)," ",""))+1)</f>
        <v>3</v>
      </c>
      <c r="N69" s="10" t="s">
        <v>35</v>
      </c>
    </row>
    <row r="70" customFormat="false" ht="15" hidden="false" customHeight="false" outlineLevel="0" collapsed="false">
      <c r="A70" s="7" t="n">
        <v>69</v>
      </c>
      <c r="B70" s="8" t="s">
        <v>236</v>
      </c>
      <c r="C70" s="9" t="s">
        <v>237</v>
      </c>
      <c r="D70" s="10" t="s">
        <v>30</v>
      </c>
      <c r="E70" s="10" t="n">
        <v>1986</v>
      </c>
      <c r="F70" s="7" t="str">
        <f aca="false">IF(E70="","",IF(E70&lt;1970,"Abyad w eswed",IF(E70&lt;2000,"70s-90s",IF(E70&lt;2015,"2000s","Gedeed"))))</f>
        <v>70s-90s</v>
      </c>
      <c r="G70" s="10" t="s">
        <v>45</v>
      </c>
      <c r="H70" s="9" t="s">
        <v>53</v>
      </c>
      <c r="I70" s="11" t="s">
        <v>238</v>
      </c>
      <c r="J70" s="11" t="s">
        <v>239</v>
      </c>
      <c r="K70" s="11"/>
      <c r="L70" s="12" t="str">
        <f aca="false">IF(B70="","",IF(LEFT(TRIM(B70),2)="ال",MID(TRIM(B70),3,1),LEFT(TRIM(B70),1)))</f>
        <v>ب</v>
      </c>
      <c r="M70" s="7" t="n">
        <f aca="false">IF(B70="","",LEN(TRIM(B70))-LEN(SUBSTITUTE(TRIM(B70)," ",""))+1)</f>
        <v>1</v>
      </c>
      <c r="N70" s="10" t="s">
        <v>35</v>
      </c>
    </row>
    <row r="71" customFormat="false" ht="15" hidden="false" customHeight="false" outlineLevel="0" collapsed="false">
      <c r="A71" s="7" t="n">
        <v>70</v>
      </c>
      <c r="B71" s="8" t="s">
        <v>240</v>
      </c>
      <c r="C71" s="9" t="s">
        <v>241</v>
      </c>
      <c r="D71" s="10" t="s">
        <v>30</v>
      </c>
      <c r="E71" s="10" t="n">
        <v>1986</v>
      </c>
      <c r="F71" s="7" t="str">
        <f aca="false">IF(E71="","",IF(E71&lt;1970,"Abyad w eswed",IF(E71&lt;2000,"70s-90s",IF(E71&lt;2015,"2000s","Gedeed"))))</f>
        <v>70s-90s</v>
      </c>
      <c r="G71" s="10" t="s">
        <v>31</v>
      </c>
      <c r="H71" s="9" t="s">
        <v>53</v>
      </c>
      <c r="I71" s="11" t="s">
        <v>229</v>
      </c>
      <c r="J71" s="11"/>
      <c r="K71" s="11"/>
      <c r="L71" s="12" t="str">
        <f aca="false">IF(B71="","",IF(LEFT(TRIM(B71),2)="ال",MID(TRIM(B71),3,1),LEFT(TRIM(B71),1)))</f>
        <v>ج</v>
      </c>
      <c r="M71" s="7" t="n">
        <f aca="false">IF(B71="","",LEN(TRIM(B71))-LEN(SUBSTITUTE(TRIM(B71)," ",""))+1)</f>
        <v>1</v>
      </c>
      <c r="N71" s="10" t="s">
        <v>35</v>
      </c>
    </row>
    <row r="72" customFormat="false" ht="15" hidden="false" customHeight="false" outlineLevel="0" collapsed="false">
      <c r="A72" s="7" t="n">
        <v>71</v>
      </c>
      <c r="B72" s="8" t="s">
        <v>242</v>
      </c>
      <c r="C72" s="9" t="s">
        <v>243</v>
      </c>
      <c r="D72" s="10" t="s">
        <v>30</v>
      </c>
      <c r="E72" s="10" t="n">
        <v>1986</v>
      </c>
      <c r="F72" s="7" t="str">
        <f aca="false">IF(E72="","",IF(E72&lt;1970,"Abyad w eswed",IF(E72&lt;2000,"70s-90s",IF(E72&lt;2015,"2000s","Gedeed"))))</f>
        <v>70s-90s</v>
      </c>
      <c r="G72" s="10" t="s">
        <v>31</v>
      </c>
      <c r="H72" s="9" t="s">
        <v>53</v>
      </c>
      <c r="I72" s="11" t="s">
        <v>238</v>
      </c>
      <c r="J72" s="11"/>
      <c r="K72" s="11"/>
      <c r="L72" s="12" t="str">
        <f aca="false">IF(B72="","",IF(LEFT(TRIM(B72),2)="ال",MID(TRIM(B72),3,1),LEFT(TRIM(B72),1)))</f>
        <v>ح</v>
      </c>
      <c r="M72" s="7" t="n">
        <f aca="false">IF(B72="","",LEN(TRIM(B72))-LEN(SUBSTITUTE(TRIM(B72)," ",""))+1)</f>
        <v>4</v>
      </c>
      <c r="N72" s="10" t="s">
        <v>35</v>
      </c>
    </row>
    <row r="73" customFormat="false" ht="15" hidden="false" customHeight="false" outlineLevel="0" collapsed="false">
      <c r="A73" s="7" t="n">
        <v>72</v>
      </c>
      <c r="B73" s="8" t="s">
        <v>244</v>
      </c>
      <c r="C73" s="9" t="s">
        <v>245</v>
      </c>
      <c r="D73" s="10" t="s">
        <v>30</v>
      </c>
      <c r="E73" s="10" t="n">
        <v>1986</v>
      </c>
      <c r="F73" s="7" t="str">
        <f aca="false">IF(E73="","",IF(E73&lt;1970,"Abyad w eswed",IF(E73&lt;2000,"70s-90s",IF(E73&lt;2015,"2000s","Gedeed"))))</f>
        <v>70s-90s</v>
      </c>
      <c r="G73" s="10" t="s">
        <v>45</v>
      </c>
      <c r="H73" s="9" t="s">
        <v>32</v>
      </c>
      <c r="I73" s="11" t="s">
        <v>194</v>
      </c>
      <c r="J73" s="11"/>
      <c r="K73" s="11"/>
      <c r="L73" s="12" t="str">
        <f aca="false">IF(B73="","",IF(LEFT(TRIM(B73),2)="ال",MID(TRIM(B73),3,1),LEFT(TRIM(B73),1)))</f>
        <v>ك</v>
      </c>
      <c r="M73" s="7" t="n">
        <f aca="false">IF(B73="","",LEN(TRIM(B73))-LEN(SUBSTITUTE(TRIM(B73)," ",""))+1)</f>
        <v>3</v>
      </c>
      <c r="N73" s="10" t="s">
        <v>35</v>
      </c>
    </row>
    <row r="74" customFormat="false" ht="15" hidden="false" customHeight="false" outlineLevel="0" collapsed="false">
      <c r="A74" s="7" t="n">
        <v>73</v>
      </c>
      <c r="B74" s="8" t="s">
        <v>246</v>
      </c>
      <c r="C74" s="9" t="s">
        <v>247</v>
      </c>
      <c r="D74" s="10" t="s">
        <v>30</v>
      </c>
      <c r="E74" s="10" t="n">
        <v>1987</v>
      </c>
      <c r="F74" s="7" t="str">
        <f aca="false">IF(E74="","",IF(E74&lt;1970,"Abyad w eswed",IF(E74&lt;2000,"70s-90s",IF(E74&lt;2015,"2000s","Gedeed"))))</f>
        <v>70s-90s</v>
      </c>
      <c r="G74" s="10" t="s">
        <v>57</v>
      </c>
      <c r="H74" s="9" t="s">
        <v>32</v>
      </c>
      <c r="I74" s="11" t="s">
        <v>238</v>
      </c>
      <c r="J74" s="11" t="s">
        <v>248</v>
      </c>
      <c r="K74" s="11"/>
      <c r="L74" s="12" t="str">
        <f aca="false">IF(B74="","",IF(LEFT(TRIM(B74),2)="ال",MID(TRIM(B74),3,1),LEFT(TRIM(B74),1)))</f>
        <v>ب</v>
      </c>
      <c r="M74" s="7" t="n">
        <f aca="false">IF(B74="","",LEN(TRIM(B74))-LEN(SUBSTITUTE(TRIM(B74)," ",""))+1)</f>
        <v>2</v>
      </c>
      <c r="N74" s="10" t="s">
        <v>35</v>
      </c>
    </row>
    <row r="75" customFormat="false" ht="15" hidden="false" customHeight="false" outlineLevel="0" collapsed="false">
      <c r="A75" s="7" t="n">
        <v>74</v>
      </c>
      <c r="B75" s="8" t="s">
        <v>249</v>
      </c>
      <c r="C75" s="9" t="s">
        <v>250</v>
      </c>
      <c r="D75" s="10" t="s">
        <v>30</v>
      </c>
      <c r="E75" s="10" t="n">
        <v>1987</v>
      </c>
      <c r="F75" s="7" t="str">
        <f aca="false">IF(E75="","",IF(E75&lt;1970,"Abyad w eswed",IF(E75&lt;2000,"70s-90s",IF(E75&lt;2015,"2000s","Gedeed"))))</f>
        <v>70s-90s</v>
      </c>
      <c r="G75" s="10" t="s">
        <v>45</v>
      </c>
      <c r="H75" s="9" t="s">
        <v>251</v>
      </c>
      <c r="I75" s="11" t="s">
        <v>194</v>
      </c>
      <c r="J75" s="11"/>
      <c r="K75" s="11"/>
      <c r="L75" s="12" t="str">
        <f aca="false">IF(B75="","",IF(LEFT(TRIM(B75),2)="ال",MID(TRIM(B75),3,1),LEFT(TRIM(B75),1)))</f>
        <v>ن</v>
      </c>
      <c r="M75" s="7" t="n">
        <f aca="false">IF(B75="","",LEN(TRIM(B75))-LEN(SUBSTITUTE(TRIM(B75)," ",""))+1)</f>
        <v>2</v>
      </c>
      <c r="N75" s="10" t="s">
        <v>35</v>
      </c>
    </row>
    <row r="76" customFormat="false" ht="15" hidden="false" customHeight="false" outlineLevel="0" collapsed="false">
      <c r="A76" s="7" t="n">
        <v>75</v>
      </c>
      <c r="B76" s="8" t="s">
        <v>252</v>
      </c>
      <c r="C76" s="9" t="s">
        <v>253</v>
      </c>
      <c r="D76" s="10" t="s">
        <v>30</v>
      </c>
      <c r="E76" s="10" t="n">
        <v>1987</v>
      </c>
      <c r="F76" s="7" t="str">
        <f aca="false">IF(E76="","",IF(E76&lt;1970,"Abyad w eswed",IF(E76&lt;2000,"70s-90s",IF(E76&lt;2015,"2000s","Gedeed"))))</f>
        <v>70s-90s</v>
      </c>
      <c r="G76" s="10" t="s">
        <v>31</v>
      </c>
      <c r="H76" s="9" t="s">
        <v>53</v>
      </c>
      <c r="I76" s="11" t="s">
        <v>238</v>
      </c>
      <c r="J76" s="11" t="s">
        <v>254</v>
      </c>
      <c r="K76" s="11"/>
      <c r="L76" s="12" t="str">
        <f aca="false">IF(B76="","",IF(LEFT(TRIM(B76),2)="ال",MID(TRIM(B76),3,1),LEFT(TRIM(B76),1)))</f>
        <v>ز</v>
      </c>
      <c r="M76" s="7" t="n">
        <f aca="false">IF(B76="","",LEN(TRIM(B76))-LEN(SUBSTITUTE(TRIM(B76)," ",""))+1)</f>
        <v>3</v>
      </c>
      <c r="N76" s="10" t="s">
        <v>35</v>
      </c>
    </row>
    <row r="77" customFormat="false" ht="15" hidden="false" customHeight="false" outlineLevel="0" collapsed="false">
      <c r="A77" s="7" t="n">
        <v>76</v>
      </c>
      <c r="B77" s="8" t="s">
        <v>255</v>
      </c>
      <c r="C77" s="9" t="s">
        <v>256</v>
      </c>
      <c r="D77" s="10" t="s">
        <v>30</v>
      </c>
      <c r="E77" s="10" t="n">
        <v>1987</v>
      </c>
      <c r="F77" s="7" t="str">
        <f aca="false">IF(E77="","",IF(E77&lt;1970,"Abyad w eswed",IF(E77&lt;2000,"70s-90s",IF(E77&lt;2015,"2000s","Gedeed"))))</f>
        <v>70s-90s</v>
      </c>
      <c r="G77" s="10" t="s">
        <v>45</v>
      </c>
      <c r="H77" s="9" t="s">
        <v>251</v>
      </c>
      <c r="I77" s="11" t="s">
        <v>194</v>
      </c>
      <c r="J77" s="11" t="s">
        <v>257</v>
      </c>
      <c r="K77" s="11"/>
      <c r="L77" s="12" t="str">
        <f aca="false">IF(B77="","",IF(LEFT(TRIM(B77),2)="ال",MID(TRIM(B77),3,1),LEFT(TRIM(B77),1)))</f>
        <v>س</v>
      </c>
      <c r="M77" s="7" t="n">
        <f aca="false">IF(B77="","",LEN(TRIM(B77))-LEN(SUBSTITUTE(TRIM(B77)," ",""))+1)</f>
        <v>3</v>
      </c>
      <c r="N77" s="10" t="s">
        <v>35</v>
      </c>
    </row>
    <row r="78" customFormat="false" ht="15" hidden="false" customHeight="false" outlineLevel="0" collapsed="false">
      <c r="A78" s="7" t="n">
        <v>77</v>
      </c>
      <c r="B78" s="8" t="s">
        <v>258</v>
      </c>
      <c r="C78" s="9" t="s">
        <v>259</v>
      </c>
      <c r="D78" s="10" t="s">
        <v>30</v>
      </c>
      <c r="E78" s="10" t="n">
        <v>1988</v>
      </c>
      <c r="F78" s="7" t="str">
        <f aca="false">IF(E78="","",IF(E78&lt;1970,"Abyad w eswed",IF(E78&lt;2000,"70s-90s",IF(E78&lt;2015,"2000s","Gedeed"))))</f>
        <v>70s-90s</v>
      </c>
      <c r="G78" s="10" t="s">
        <v>31</v>
      </c>
      <c r="H78" s="9" t="s">
        <v>53</v>
      </c>
      <c r="I78" s="11" t="s">
        <v>260</v>
      </c>
      <c r="J78" s="11"/>
      <c r="K78" s="11"/>
      <c r="L78" s="12" t="str">
        <f aca="false">IF(B78="","",IF(LEFT(TRIM(B78),2)="ال",MID(TRIM(B78),3,1),LEFT(TRIM(B78),1)))</f>
        <v>أ</v>
      </c>
      <c r="M78" s="7" t="n">
        <f aca="false">IF(B78="","",LEN(TRIM(B78))-LEN(SUBSTITUTE(TRIM(B78)," ",""))+1)</f>
        <v>3</v>
      </c>
      <c r="N78" s="10" t="s">
        <v>35</v>
      </c>
    </row>
    <row r="79" customFormat="false" ht="15" hidden="false" customHeight="false" outlineLevel="0" collapsed="false">
      <c r="A79" s="7" t="n">
        <v>78</v>
      </c>
      <c r="B79" s="8" t="s">
        <v>261</v>
      </c>
      <c r="C79" s="9" t="s">
        <v>262</v>
      </c>
      <c r="D79" s="10" t="s">
        <v>30</v>
      </c>
      <c r="E79" s="10" t="n">
        <v>1988</v>
      </c>
      <c r="F79" s="7" t="str">
        <f aca="false">IF(E79="","",IF(E79&lt;1970,"Abyad w eswed",IF(E79&lt;2000,"70s-90s",IF(E79&lt;2015,"2000s","Gedeed"))))</f>
        <v>70s-90s</v>
      </c>
      <c r="G79" s="10" t="s">
        <v>31</v>
      </c>
      <c r="H79" s="9" t="s">
        <v>53</v>
      </c>
      <c r="I79" s="11" t="s">
        <v>54</v>
      </c>
      <c r="J79" s="11"/>
      <c r="K79" s="11"/>
      <c r="L79" s="12" t="str">
        <f aca="false">IF(B79="","",IF(LEFT(TRIM(B79),2)="ال",MID(TRIM(B79),3,1),LEFT(TRIM(B79),1)))</f>
        <v>ي</v>
      </c>
      <c r="M79" s="7" t="n">
        <f aca="false">IF(B79="","",LEN(TRIM(B79))-LEN(SUBSTITUTE(TRIM(B79)," ",""))+1)</f>
        <v>4</v>
      </c>
      <c r="N79" s="10" t="s">
        <v>35</v>
      </c>
    </row>
    <row r="80" customFormat="false" ht="15" hidden="false" customHeight="false" outlineLevel="0" collapsed="false">
      <c r="A80" s="7" t="n">
        <v>79</v>
      </c>
      <c r="B80" s="8" t="s">
        <v>263</v>
      </c>
      <c r="C80" s="9" t="s">
        <v>264</v>
      </c>
      <c r="D80" s="10" t="s">
        <v>30</v>
      </c>
      <c r="E80" s="10" t="n">
        <v>1990</v>
      </c>
      <c r="F80" s="7" t="str">
        <f aca="false">IF(E80="","",IF(E80&lt;1970,"Abyad w eswed",IF(E80&lt;2000,"70s-90s",IF(E80&lt;2015,"2000s","Gedeed"))))</f>
        <v>70s-90s</v>
      </c>
      <c r="G80" s="10" t="s">
        <v>45</v>
      </c>
      <c r="H80" s="9" t="s">
        <v>32</v>
      </c>
      <c r="I80" s="11" t="s">
        <v>238</v>
      </c>
      <c r="J80" s="11" t="s">
        <v>265</v>
      </c>
      <c r="K80" s="11"/>
      <c r="L80" s="12" t="str">
        <f aca="false">IF(B80="","",IF(LEFT(TRIM(B80),2)="ال",MID(TRIM(B80),3,1),LEFT(TRIM(B80),1)))</f>
        <v>ب</v>
      </c>
      <c r="M80" s="7" t="n">
        <f aca="false">IF(B80="","",LEN(TRIM(B80))-LEN(SUBSTITUTE(TRIM(B80)," ",""))+1)</f>
        <v>2</v>
      </c>
      <c r="N80" s="10" t="s">
        <v>35</v>
      </c>
    </row>
    <row r="81" customFormat="false" ht="15" hidden="false" customHeight="false" outlineLevel="0" collapsed="false">
      <c r="A81" s="7" t="n">
        <v>80</v>
      </c>
      <c r="B81" s="8" t="s">
        <v>266</v>
      </c>
      <c r="C81" s="9" t="s">
        <v>267</v>
      </c>
      <c r="D81" s="10" t="s">
        <v>30</v>
      </c>
      <c r="E81" s="10" t="n">
        <v>1990</v>
      </c>
      <c r="F81" s="7" t="str">
        <f aca="false">IF(E81="","",IF(E81&lt;1970,"Abyad w eswed",IF(E81&lt;2000,"70s-90s",IF(E81&lt;2015,"2000s","Gedeed"))))</f>
        <v>70s-90s</v>
      </c>
      <c r="G81" s="10" t="s">
        <v>45</v>
      </c>
      <c r="H81" s="9" t="s">
        <v>53</v>
      </c>
      <c r="I81" s="11" t="s">
        <v>223</v>
      </c>
      <c r="J81" s="11"/>
      <c r="K81" s="11"/>
      <c r="L81" s="12" t="str">
        <f aca="false">IF(B81="","",IF(LEFT(TRIM(B81),2)="ال",MID(TRIM(B81),3,1),LEFT(TRIM(B81),1)))</f>
        <v>ر</v>
      </c>
      <c r="M81" s="7" t="n">
        <f aca="false">IF(B81="","",LEN(TRIM(B81))-LEN(SUBSTITUTE(TRIM(B81)," ",""))+1)</f>
        <v>2</v>
      </c>
      <c r="N81" s="10" t="s">
        <v>35</v>
      </c>
    </row>
    <row r="82" customFormat="false" ht="15" hidden="false" customHeight="false" outlineLevel="0" collapsed="false">
      <c r="A82" s="7" t="n">
        <v>81</v>
      </c>
      <c r="B82" s="8" t="s">
        <v>268</v>
      </c>
      <c r="C82" s="9" t="s">
        <v>269</v>
      </c>
      <c r="D82" s="10" t="s">
        <v>30</v>
      </c>
      <c r="E82" s="10" t="n">
        <v>1990</v>
      </c>
      <c r="F82" s="7" t="str">
        <f aca="false">IF(E82="","",IF(E82&lt;1970,"Abyad w eswed",IF(E82&lt;2000,"70s-90s",IF(E82&lt;2015,"2000s","Gedeed"))))</f>
        <v>70s-90s</v>
      </c>
      <c r="G82" s="10" t="s">
        <v>45</v>
      </c>
      <c r="H82" s="9" t="s">
        <v>32</v>
      </c>
      <c r="I82" s="11" t="s">
        <v>194</v>
      </c>
      <c r="J82" s="11" t="s">
        <v>50</v>
      </c>
      <c r="K82" s="11"/>
      <c r="L82" s="12" t="str">
        <f aca="false">IF(B82="","",IF(LEFT(TRIM(B82),2)="ال",MID(TRIM(B82),3,1),LEFT(TRIM(B82),1)))</f>
        <v>ح</v>
      </c>
      <c r="M82" s="7" t="n">
        <f aca="false">IF(B82="","",LEN(TRIM(B82))-LEN(SUBSTITUTE(TRIM(B82)," ",""))+1)</f>
        <v>2</v>
      </c>
      <c r="N82" s="10" t="s">
        <v>35</v>
      </c>
    </row>
    <row r="83" customFormat="false" ht="15" hidden="false" customHeight="false" outlineLevel="0" collapsed="false">
      <c r="A83" s="7" t="n">
        <v>82</v>
      </c>
      <c r="B83" s="8" t="s">
        <v>270</v>
      </c>
      <c r="C83" s="9" t="s">
        <v>271</v>
      </c>
      <c r="D83" s="10" t="s">
        <v>30</v>
      </c>
      <c r="E83" s="10" t="n">
        <v>1990</v>
      </c>
      <c r="F83" s="7" t="str">
        <f aca="false">IF(E83="","",IF(E83&lt;1970,"Abyad w eswed",IF(E83&lt;2000,"70s-90s",IF(E83&lt;2015,"2000s","Gedeed"))))</f>
        <v>70s-90s</v>
      </c>
      <c r="G83" s="10" t="s">
        <v>57</v>
      </c>
      <c r="H83" s="9" t="s">
        <v>53</v>
      </c>
      <c r="I83" s="11" t="s">
        <v>238</v>
      </c>
      <c r="J83" s="11" t="s">
        <v>272</v>
      </c>
      <c r="K83" s="11"/>
      <c r="L83" s="12" t="str">
        <f aca="false">IF(B83="","",IF(LEFT(TRIM(B83),2)="ال",MID(TRIM(B83),3,1),LEFT(TRIM(B83),1)))</f>
        <v>ك</v>
      </c>
      <c r="M83" s="7" t="n">
        <f aca="false">IF(B83="","",LEN(TRIM(B83))-LEN(SUBSTITUTE(TRIM(B83)," ",""))+1)</f>
        <v>1</v>
      </c>
      <c r="N83" s="10" t="s">
        <v>35</v>
      </c>
    </row>
    <row r="84" customFormat="false" ht="15" hidden="false" customHeight="false" outlineLevel="0" collapsed="false">
      <c r="A84" s="7" t="n">
        <v>83</v>
      </c>
      <c r="B84" s="8" t="s">
        <v>273</v>
      </c>
      <c r="C84" s="9" t="s">
        <v>274</v>
      </c>
      <c r="D84" s="10" t="s">
        <v>30</v>
      </c>
      <c r="E84" s="10" t="n">
        <v>1991</v>
      </c>
      <c r="F84" s="7" t="str">
        <f aca="false">IF(E84="","",IF(E84&lt;1970,"Abyad w eswed",IF(E84&lt;2000,"70s-90s",IF(E84&lt;2015,"2000s","Gedeed"))))</f>
        <v>70s-90s</v>
      </c>
      <c r="G84" s="10" t="s">
        <v>45</v>
      </c>
      <c r="H84" s="9" t="s">
        <v>32</v>
      </c>
      <c r="I84" s="11" t="s">
        <v>229</v>
      </c>
      <c r="J84" s="11" t="s">
        <v>275</v>
      </c>
      <c r="K84" s="11"/>
      <c r="L84" s="12" t="str">
        <f aca="false">IF(B84="","",IF(LEFT(TRIM(B84),2)="ال",MID(TRIM(B84),3,1),LEFT(TRIM(B84),1)))</f>
        <v>ك</v>
      </c>
      <c r="M84" s="7" t="n">
        <f aca="false">IF(B84="","",LEN(TRIM(B84))-LEN(SUBSTITUTE(TRIM(B84)," ",""))+1)</f>
        <v>2</v>
      </c>
      <c r="N84" s="10" t="s">
        <v>35</v>
      </c>
    </row>
    <row r="85" customFormat="false" ht="15" hidden="false" customHeight="false" outlineLevel="0" collapsed="false">
      <c r="A85" s="7" t="n">
        <v>84</v>
      </c>
      <c r="B85" s="8" t="s">
        <v>276</v>
      </c>
      <c r="C85" s="9" t="s">
        <v>277</v>
      </c>
      <c r="D85" s="10" t="s">
        <v>30</v>
      </c>
      <c r="E85" s="10" t="n">
        <v>1991</v>
      </c>
      <c r="F85" s="7" t="str">
        <f aca="false">IF(E85="","",IF(E85&lt;1970,"Abyad w eswed",IF(E85&lt;2000,"70s-90s",IF(E85&lt;2015,"2000s","Gedeed"))))</f>
        <v>70s-90s</v>
      </c>
      <c r="G85" s="10" t="s">
        <v>45</v>
      </c>
      <c r="H85" s="9" t="s">
        <v>53</v>
      </c>
      <c r="I85" s="11" t="s">
        <v>194</v>
      </c>
      <c r="J85" s="11" t="s">
        <v>278</v>
      </c>
      <c r="K85" s="11"/>
      <c r="L85" s="12" t="str">
        <f aca="false">IF(B85="","",IF(LEFT(TRIM(B85),2)="ال",MID(TRIM(B85),3,1),LEFT(TRIM(B85),1)))</f>
        <v>ل</v>
      </c>
      <c r="M85" s="7" t="n">
        <f aca="false">IF(B85="","",LEN(TRIM(B85))-LEN(SUBSTITUTE(TRIM(B85)," ",""))+1)</f>
        <v>3</v>
      </c>
      <c r="N85" s="10" t="s">
        <v>35</v>
      </c>
    </row>
    <row r="86" customFormat="false" ht="15" hidden="false" customHeight="false" outlineLevel="0" collapsed="false">
      <c r="A86" s="7" t="n">
        <v>85</v>
      </c>
      <c r="B86" s="8" t="s">
        <v>279</v>
      </c>
      <c r="C86" s="9" t="s">
        <v>280</v>
      </c>
      <c r="D86" s="10" t="s">
        <v>30</v>
      </c>
      <c r="E86" s="10" t="n">
        <v>1991</v>
      </c>
      <c r="F86" s="7" t="str">
        <f aca="false">IF(E86="","",IF(E86&lt;1970,"Abyad w eswed",IF(E86&lt;2000,"70s-90s",IF(E86&lt;2015,"2000s","Gedeed"))))</f>
        <v>70s-90s</v>
      </c>
      <c r="G86" s="10" t="s">
        <v>45</v>
      </c>
      <c r="H86" s="9" t="s">
        <v>251</v>
      </c>
      <c r="I86" s="11" t="s">
        <v>238</v>
      </c>
      <c r="J86" s="11" t="s">
        <v>281</v>
      </c>
      <c r="K86" s="11"/>
      <c r="L86" s="12" t="str">
        <f aca="false">IF(B86="","",IF(LEFT(TRIM(B86),2)="ال",MID(TRIM(B86),3,1),LEFT(TRIM(B86),1)))</f>
        <v>ه</v>
      </c>
      <c r="M86" s="7" t="n">
        <f aca="false">IF(B86="","",LEN(TRIM(B86))-LEN(SUBSTITUTE(TRIM(B86)," ",""))+1)</f>
        <v>1</v>
      </c>
      <c r="N86" s="10" t="s">
        <v>35</v>
      </c>
    </row>
    <row r="87" customFormat="false" ht="15" hidden="false" customHeight="false" outlineLevel="0" collapsed="false">
      <c r="A87" s="7" t="n">
        <v>86</v>
      </c>
      <c r="B87" s="8" t="s">
        <v>282</v>
      </c>
      <c r="C87" s="9" t="s">
        <v>283</v>
      </c>
      <c r="D87" s="10" t="s">
        <v>30</v>
      </c>
      <c r="E87" s="10" t="n">
        <v>1991</v>
      </c>
      <c r="F87" s="7" t="str">
        <f aca="false">IF(E87="","",IF(E87&lt;1970,"Abyad w eswed",IF(E87&lt;2000,"70s-90s",IF(E87&lt;2015,"2000s","Gedeed"))))</f>
        <v>70s-90s</v>
      </c>
      <c r="G87" s="10" t="s">
        <v>45</v>
      </c>
      <c r="H87" s="9" t="s">
        <v>251</v>
      </c>
      <c r="I87" s="11" t="s">
        <v>194</v>
      </c>
      <c r="J87" s="11" t="s">
        <v>282</v>
      </c>
      <c r="K87" s="11"/>
      <c r="L87" s="12" t="str">
        <f aca="false">IF(B87="","",IF(LEFT(TRIM(B87),2)="ال",MID(TRIM(B87),3,1),LEFT(TRIM(B87),1)))</f>
        <v>ش</v>
      </c>
      <c r="M87" s="7" t="n">
        <f aca="false">IF(B87="","",LEN(TRIM(B87))-LEN(SUBSTITUTE(TRIM(B87)," ",""))+1)</f>
        <v>2</v>
      </c>
      <c r="N87" s="10" t="s">
        <v>35</v>
      </c>
    </row>
    <row r="88" customFormat="false" ht="15" hidden="false" customHeight="false" outlineLevel="0" collapsed="false">
      <c r="A88" s="7" t="n">
        <v>87</v>
      </c>
      <c r="B88" s="8" t="s">
        <v>284</v>
      </c>
      <c r="C88" s="9" t="s">
        <v>285</v>
      </c>
      <c r="D88" s="10" t="s">
        <v>30</v>
      </c>
      <c r="E88" s="10" t="n">
        <v>1992</v>
      </c>
      <c r="F88" s="7" t="str">
        <f aca="false">IF(E88="","",IF(E88&lt;1970,"Abyad w eswed",IF(E88&lt;2000,"70s-90s",IF(E88&lt;2015,"2000s","Gedeed"))))</f>
        <v>70s-90s</v>
      </c>
      <c r="G88" s="10" t="s">
        <v>45</v>
      </c>
      <c r="H88" s="9" t="s">
        <v>40</v>
      </c>
      <c r="I88" s="11" t="s">
        <v>286</v>
      </c>
      <c r="J88" s="11"/>
      <c r="K88" s="11"/>
      <c r="L88" s="12" t="str">
        <f aca="false">IF(B88="","",IF(LEFT(TRIM(B88),2)="ال",MID(TRIM(B88),3,1),LEFT(TRIM(B88),1)))</f>
        <v>آ</v>
      </c>
      <c r="M88" s="7" t="n">
        <f aca="false">IF(B88="","",LEN(TRIM(B88))-LEN(SUBSTITUTE(TRIM(B88)," ",""))+1)</f>
        <v>4</v>
      </c>
      <c r="N88" s="10" t="s">
        <v>42</v>
      </c>
    </row>
    <row r="89" customFormat="false" ht="15" hidden="false" customHeight="false" outlineLevel="0" collapsed="false">
      <c r="A89" s="7" t="n">
        <v>88</v>
      </c>
      <c r="B89" s="8" t="s">
        <v>287</v>
      </c>
      <c r="C89" s="9" t="s">
        <v>288</v>
      </c>
      <c r="D89" s="10" t="s">
        <v>30</v>
      </c>
      <c r="E89" s="10" t="n">
        <v>1992</v>
      </c>
      <c r="F89" s="7" t="str">
        <f aca="false">IF(E89="","",IF(E89&lt;1970,"Abyad w eswed",IF(E89&lt;2000,"70s-90s",IF(E89&lt;2015,"2000s","Gedeed"))))</f>
        <v>70s-90s</v>
      </c>
      <c r="G89" s="10" t="s">
        <v>57</v>
      </c>
      <c r="H89" s="9" t="s">
        <v>32</v>
      </c>
      <c r="I89" s="11" t="s">
        <v>194</v>
      </c>
      <c r="J89" s="11" t="s">
        <v>289</v>
      </c>
      <c r="K89" s="11"/>
      <c r="L89" s="12" t="str">
        <f aca="false">IF(B89="","",IF(LEFT(TRIM(B89),2)="ال",MID(TRIM(B89),3,1),LEFT(TRIM(B89),1)))</f>
        <v>إ</v>
      </c>
      <c r="M89" s="7" t="n">
        <f aca="false">IF(B89="","",LEN(TRIM(B89))-LEN(SUBSTITUTE(TRIM(B89)," ",""))+1)</f>
        <v>2</v>
      </c>
      <c r="N89" s="10" t="s">
        <v>35</v>
      </c>
    </row>
    <row r="90" customFormat="false" ht="15" hidden="false" customHeight="false" outlineLevel="0" collapsed="false">
      <c r="A90" s="7" t="n">
        <v>89</v>
      </c>
      <c r="B90" s="8" t="s">
        <v>290</v>
      </c>
      <c r="C90" s="9" t="s">
        <v>291</v>
      </c>
      <c r="D90" s="10" t="s">
        <v>30</v>
      </c>
      <c r="E90" s="10" t="n">
        <v>1992</v>
      </c>
      <c r="F90" s="7" t="str">
        <f aca="false">IF(E90="","",IF(E90&lt;1970,"Abyad w eswed",IF(E90&lt;2000,"70s-90s",IF(E90&lt;2015,"2000s","Gedeed"))))</f>
        <v>70s-90s</v>
      </c>
      <c r="G90" s="10" t="s">
        <v>45</v>
      </c>
      <c r="H90" s="9" t="s">
        <v>53</v>
      </c>
      <c r="I90" s="11" t="s">
        <v>238</v>
      </c>
      <c r="J90" s="11" t="s">
        <v>292</v>
      </c>
      <c r="K90" s="11" t="s">
        <v>293</v>
      </c>
      <c r="L90" s="12" t="str">
        <f aca="false">IF(B90="","",IF(LEFT(TRIM(B90),2)="ال",MID(TRIM(B90),3,1),LEFT(TRIM(B90),1)))</f>
        <v>ض</v>
      </c>
      <c r="M90" s="7" t="n">
        <f aca="false">IF(B90="","",LEN(TRIM(B90))-LEN(SUBSTITUTE(TRIM(B90)," ",""))+1)</f>
        <v>2</v>
      </c>
      <c r="N90" s="10" t="s">
        <v>35</v>
      </c>
    </row>
    <row r="91" customFormat="false" ht="15" hidden="false" customHeight="false" outlineLevel="0" collapsed="false">
      <c r="A91" s="7" t="n">
        <v>90</v>
      </c>
      <c r="B91" s="8" t="s">
        <v>294</v>
      </c>
      <c r="C91" s="9" t="s">
        <v>295</v>
      </c>
      <c r="D91" s="10" t="s">
        <v>30</v>
      </c>
      <c r="E91" s="10" t="n">
        <v>1993</v>
      </c>
      <c r="F91" s="7" t="str">
        <f aca="false">IF(E91="","",IF(E91&lt;1970,"Abyad w eswed",IF(E91&lt;2000,"70s-90s",IF(E91&lt;2015,"2000s","Gedeed"))))</f>
        <v>70s-90s</v>
      </c>
      <c r="G91" s="10" t="s">
        <v>45</v>
      </c>
      <c r="H91" s="9" t="s">
        <v>32</v>
      </c>
      <c r="I91" s="11" t="s">
        <v>194</v>
      </c>
      <c r="J91" s="11" t="s">
        <v>296</v>
      </c>
      <c r="K91" s="11"/>
      <c r="L91" s="12" t="str">
        <f aca="false">IF(B91="","",IF(LEFT(TRIM(B91),2)="ال",MID(TRIM(B91),3,1),LEFT(TRIM(B91),1)))</f>
        <v>م</v>
      </c>
      <c r="M91" s="7" t="n">
        <f aca="false">IF(B91="","",LEN(TRIM(B91))-LEN(SUBSTITUTE(TRIM(B91)," ",""))+1)</f>
        <v>1</v>
      </c>
      <c r="N91" s="10" t="s">
        <v>35</v>
      </c>
    </row>
    <row r="92" customFormat="false" ht="15" hidden="false" customHeight="false" outlineLevel="0" collapsed="false">
      <c r="A92" s="7" t="n">
        <v>91</v>
      </c>
      <c r="B92" s="8" t="s">
        <v>297</v>
      </c>
      <c r="C92" s="9" t="s">
        <v>298</v>
      </c>
      <c r="D92" s="10" t="s">
        <v>30</v>
      </c>
      <c r="E92" s="10" t="n">
        <v>1993</v>
      </c>
      <c r="F92" s="7" t="str">
        <f aca="false">IF(E92="","",IF(E92&lt;1970,"Abyad w eswed",IF(E92&lt;2000,"70s-90s",IF(E92&lt;2015,"2000s","Gedeed"))))</f>
        <v>70s-90s</v>
      </c>
      <c r="G92" s="10" t="s">
        <v>45</v>
      </c>
      <c r="H92" s="9" t="s">
        <v>251</v>
      </c>
      <c r="I92" s="11" t="s">
        <v>238</v>
      </c>
      <c r="J92" s="11"/>
      <c r="K92" s="11"/>
      <c r="L92" s="12" t="str">
        <f aca="false">IF(B92="","",IF(LEFT(TRIM(B92),2)="ال",MID(TRIM(B92),3,1),LEFT(TRIM(B92),1)))</f>
        <v>م</v>
      </c>
      <c r="M92" s="7" t="n">
        <f aca="false">IF(B92="","",LEN(TRIM(B92))-LEN(SUBSTITUTE(TRIM(B92)," ",""))+1)</f>
        <v>2</v>
      </c>
      <c r="N92" s="10" t="s">
        <v>42</v>
      </c>
    </row>
    <row r="93" customFormat="false" ht="15" hidden="false" customHeight="false" outlineLevel="0" collapsed="false">
      <c r="A93" s="7" t="n">
        <v>92</v>
      </c>
      <c r="B93" s="8" t="s">
        <v>299</v>
      </c>
      <c r="C93" s="9" t="s">
        <v>300</v>
      </c>
      <c r="D93" s="10" t="s">
        <v>30</v>
      </c>
      <c r="E93" s="10" t="n">
        <v>1994</v>
      </c>
      <c r="F93" s="7" t="str">
        <f aca="false">IF(E93="","",IF(E93&lt;1970,"Abyad w eswed",IF(E93&lt;2000,"70s-90s",IF(E93&lt;2015,"2000s","Gedeed"))))</f>
        <v>70s-90s</v>
      </c>
      <c r="G93" s="10" t="s">
        <v>45</v>
      </c>
      <c r="H93" s="9" t="s">
        <v>53</v>
      </c>
      <c r="I93" s="11" t="s">
        <v>194</v>
      </c>
      <c r="J93" s="11" t="s">
        <v>301</v>
      </c>
      <c r="K93" s="11"/>
      <c r="L93" s="12" t="str">
        <f aca="false">IF(B93="","",IF(LEFT(TRIM(B93),2)="ال",MID(TRIM(B93),3,1),LEFT(TRIM(B93),1)))</f>
        <v>إ</v>
      </c>
      <c r="M93" s="7" t="n">
        <f aca="false">IF(B93="","",LEN(TRIM(B93))-LEN(SUBSTITUTE(TRIM(B93)," ",""))+1)</f>
        <v>1</v>
      </c>
      <c r="N93" s="10" t="s">
        <v>35</v>
      </c>
    </row>
    <row r="94" customFormat="false" ht="15" hidden="false" customHeight="false" outlineLevel="0" collapsed="false">
      <c r="A94" s="7" t="n">
        <v>93</v>
      </c>
      <c r="B94" s="8" t="s">
        <v>302</v>
      </c>
      <c r="C94" s="9" t="s">
        <v>303</v>
      </c>
      <c r="D94" s="10" t="s">
        <v>30</v>
      </c>
      <c r="E94" s="10" t="n">
        <v>1994</v>
      </c>
      <c r="F94" s="7" t="str">
        <f aca="false">IF(E94="","",IF(E94&lt;1970,"Abyad w eswed",IF(E94&lt;2000,"70s-90s",IF(E94&lt;2015,"2000s","Gedeed"))))</f>
        <v>70s-90s</v>
      </c>
      <c r="G94" s="10" t="s">
        <v>31</v>
      </c>
      <c r="H94" s="9" t="s">
        <v>114</v>
      </c>
      <c r="I94" s="11" t="s">
        <v>304</v>
      </c>
      <c r="J94" s="11"/>
      <c r="K94" s="11"/>
      <c r="L94" s="12" t="str">
        <f aca="false">IF(B94="","",IF(LEFT(TRIM(B94),2)="ال",MID(TRIM(B94),3,1),LEFT(TRIM(B94),1)))</f>
        <v>م</v>
      </c>
      <c r="M94" s="7" t="n">
        <f aca="false">IF(B94="","",LEN(TRIM(B94))-LEN(SUBSTITUTE(TRIM(B94)," ",""))+1)</f>
        <v>1</v>
      </c>
      <c r="N94" s="10" t="s">
        <v>35</v>
      </c>
    </row>
    <row r="95" customFormat="false" ht="15" hidden="false" customHeight="false" outlineLevel="0" collapsed="false">
      <c r="A95" s="7" t="n">
        <v>94</v>
      </c>
      <c r="B95" s="8" t="s">
        <v>305</v>
      </c>
      <c r="C95" s="9" t="s">
        <v>306</v>
      </c>
      <c r="D95" s="10" t="s">
        <v>30</v>
      </c>
      <c r="E95" s="10" t="n">
        <v>1995</v>
      </c>
      <c r="F95" s="7" t="str">
        <f aca="false">IF(E95="","",IF(E95&lt;1970,"Abyad w eswed",IF(E95&lt;2000,"70s-90s",IF(E95&lt;2015,"2000s","Gedeed"))))</f>
        <v>70s-90s</v>
      </c>
      <c r="G95" s="10" t="s">
        <v>45</v>
      </c>
      <c r="H95" s="9" t="s">
        <v>32</v>
      </c>
      <c r="I95" s="11" t="s">
        <v>194</v>
      </c>
      <c r="J95" s="11" t="s">
        <v>307</v>
      </c>
      <c r="K95" s="11"/>
      <c r="L95" s="12" t="str">
        <f aca="false">IF(B95="","",IF(LEFT(TRIM(B95),2)="ال",MID(TRIM(B95),3,1),LEFT(TRIM(B95),1)))</f>
        <v>ب</v>
      </c>
      <c r="M95" s="7" t="n">
        <f aca="false">IF(B95="","",LEN(TRIM(B95))-LEN(SUBSTITUTE(TRIM(B95)," ",""))+1)</f>
        <v>2</v>
      </c>
      <c r="N95" s="10" t="s">
        <v>35</v>
      </c>
    </row>
    <row r="96" customFormat="false" ht="15" hidden="false" customHeight="false" outlineLevel="0" collapsed="false">
      <c r="A96" s="7" t="n">
        <v>95</v>
      </c>
      <c r="B96" s="8" t="s">
        <v>308</v>
      </c>
      <c r="C96" s="9" t="s">
        <v>309</v>
      </c>
      <c r="D96" s="10" t="s">
        <v>30</v>
      </c>
      <c r="E96" s="10" t="n">
        <v>1995</v>
      </c>
      <c r="F96" s="7" t="str">
        <f aca="false">IF(E96="","",IF(E96&lt;1970,"Abyad w eswed",IF(E96&lt;2000,"70s-90s",IF(E96&lt;2015,"2000s","Gedeed"))))</f>
        <v>70s-90s</v>
      </c>
      <c r="G96" s="10" t="s">
        <v>45</v>
      </c>
      <c r="H96" s="9" t="s">
        <v>53</v>
      </c>
      <c r="I96" s="11" t="s">
        <v>194</v>
      </c>
      <c r="J96" s="11" t="s">
        <v>310</v>
      </c>
      <c r="K96" s="11"/>
      <c r="L96" s="12" t="str">
        <f aca="false">IF(B96="","",IF(LEFT(TRIM(B96),2)="ال",MID(TRIM(B96),3,1),LEFT(TRIM(B96),1)))</f>
        <v>ط</v>
      </c>
      <c r="M96" s="7" t="n">
        <f aca="false">IF(B96="","",LEN(TRIM(B96))-LEN(SUBSTITUTE(TRIM(B96)," ",""))+1)</f>
        <v>2</v>
      </c>
      <c r="N96" s="10" t="s">
        <v>35</v>
      </c>
    </row>
    <row r="97" customFormat="false" ht="15" hidden="false" customHeight="false" outlineLevel="0" collapsed="false">
      <c r="A97" s="7" t="n">
        <v>96</v>
      </c>
      <c r="B97" s="8" t="s">
        <v>311</v>
      </c>
      <c r="C97" s="9" t="s">
        <v>312</v>
      </c>
      <c r="D97" s="10" t="s">
        <v>30</v>
      </c>
      <c r="E97" s="10" t="n">
        <v>1996</v>
      </c>
      <c r="F97" s="7" t="str">
        <f aca="false">IF(E97="","",IF(E97&lt;1970,"Abyad w eswed",IF(E97&lt;2000,"70s-90s",IF(E97&lt;2015,"2000s","Gedeed"))))</f>
        <v>70s-90s</v>
      </c>
      <c r="G97" s="10" t="s">
        <v>45</v>
      </c>
      <c r="H97" s="9" t="s">
        <v>32</v>
      </c>
      <c r="I97" s="11" t="s">
        <v>194</v>
      </c>
      <c r="J97" s="11" t="s">
        <v>313</v>
      </c>
      <c r="K97" s="11"/>
      <c r="L97" s="12" t="str">
        <f aca="false">IF(B97="","",IF(LEFT(TRIM(B97),2)="ال",MID(TRIM(B97),3,1),LEFT(TRIM(B97),1)))</f>
        <v>ن</v>
      </c>
      <c r="M97" s="7" t="n">
        <f aca="false">IF(B97="","",LEN(TRIM(B97))-LEN(SUBSTITUTE(TRIM(B97)," ",""))+1)</f>
        <v>3</v>
      </c>
      <c r="N97" s="10" t="s">
        <v>35</v>
      </c>
    </row>
    <row r="98" customFormat="false" ht="15" hidden="false" customHeight="false" outlineLevel="0" collapsed="false">
      <c r="A98" s="7" t="n">
        <v>97</v>
      </c>
      <c r="B98" s="8" t="s">
        <v>314</v>
      </c>
      <c r="C98" s="9" t="s">
        <v>315</v>
      </c>
      <c r="D98" s="10" t="s">
        <v>30</v>
      </c>
      <c r="E98" s="10" t="n">
        <v>1996</v>
      </c>
      <c r="F98" s="7" t="str">
        <f aca="false">IF(E98="","",IF(E98&lt;1970,"Abyad w eswed",IF(E98&lt;2000,"70s-90s",IF(E98&lt;2015,"2000s","Gedeed"))))</f>
        <v>70s-90s</v>
      </c>
      <c r="G98" s="10" t="s">
        <v>45</v>
      </c>
      <c r="H98" s="9" t="s">
        <v>114</v>
      </c>
      <c r="I98" s="11" t="s">
        <v>238</v>
      </c>
      <c r="J98" s="11" t="s">
        <v>316</v>
      </c>
      <c r="K98" s="11"/>
      <c r="L98" s="12" t="str">
        <f aca="false">IF(B98="","",IF(LEFT(TRIM(B98),2)="ال",MID(TRIM(B98),3,1),LEFT(TRIM(B98),1)))</f>
        <v>ن</v>
      </c>
      <c r="M98" s="7" t="n">
        <f aca="false">IF(B98="","",LEN(TRIM(B98))-LEN(SUBSTITUTE(TRIM(B98)," ",""))+1)</f>
        <v>2</v>
      </c>
      <c r="N98" s="10" t="s">
        <v>35</v>
      </c>
    </row>
    <row r="99" customFormat="false" ht="15" hidden="false" customHeight="false" outlineLevel="0" collapsed="false">
      <c r="A99" s="7" t="n">
        <v>98</v>
      </c>
      <c r="B99" s="8" t="s">
        <v>317</v>
      </c>
      <c r="C99" s="9" t="s">
        <v>318</v>
      </c>
      <c r="D99" s="10" t="s">
        <v>30</v>
      </c>
      <c r="E99" s="10" t="n">
        <v>1997</v>
      </c>
      <c r="F99" s="7" t="str">
        <f aca="false">IF(E99="","",IF(E99&lt;1970,"Abyad w eswed",IF(E99&lt;2000,"70s-90s",IF(E99&lt;2015,"2000s","Gedeed"))))</f>
        <v>70s-90s</v>
      </c>
      <c r="G99" s="10" t="s">
        <v>57</v>
      </c>
      <c r="H99" s="9" t="s">
        <v>32</v>
      </c>
      <c r="I99" s="11" t="s">
        <v>319</v>
      </c>
      <c r="J99" s="11"/>
      <c r="K99" s="11"/>
      <c r="L99" s="12" t="str">
        <f aca="false">IF(B99="","",IF(LEFT(TRIM(B99),2)="ال",MID(TRIM(B99),3,1),LEFT(TRIM(B99),1)))</f>
        <v>إ</v>
      </c>
      <c r="M99" s="7" t="n">
        <f aca="false">IF(B99="","",LEN(TRIM(B99))-LEN(SUBSTITUTE(TRIM(B99)," ",""))+1)</f>
        <v>3</v>
      </c>
      <c r="N99" s="10" t="s">
        <v>35</v>
      </c>
    </row>
    <row r="100" customFormat="false" ht="15" hidden="false" customHeight="false" outlineLevel="0" collapsed="false">
      <c r="A100" s="7" t="n">
        <v>99</v>
      </c>
      <c r="B100" s="8" t="s">
        <v>320</v>
      </c>
      <c r="C100" s="9" t="s">
        <v>321</v>
      </c>
      <c r="D100" s="10" t="s">
        <v>30</v>
      </c>
      <c r="E100" s="10" t="n">
        <v>1998</v>
      </c>
      <c r="F100" s="7" t="str">
        <f aca="false">IF(E100="","",IF(E100&lt;1970,"Abyad w eswed",IF(E100&lt;2000,"70s-90s",IF(E100&lt;2015,"2000s","Gedeed"))))</f>
        <v>70s-90s</v>
      </c>
      <c r="G100" s="10" t="s">
        <v>45</v>
      </c>
      <c r="H100" s="9" t="s">
        <v>53</v>
      </c>
      <c r="I100" s="11" t="s">
        <v>238</v>
      </c>
      <c r="J100" s="11" t="s">
        <v>322</v>
      </c>
      <c r="K100" s="11"/>
      <c r="L100" s="12" t="str">
        <f aca="false">IF(B100="","",IF(LEFT(TRIM(B100),2)="ال",MID(TRIM(B100),3,1),LEFT(TRIM(B100),1)))</f>
        <v>ا</v>
      </c>
      <c r="M100" s="7" t="n">
        <f aca="false">IF(B100="","",LEN(TRIM(B100))-LEN(SUBSTITUTE(TRIM(B100)," ",""))+1)</f>
        <v>4</v>
      </c>
      <c r="N100" s="10" t="s">
        <v>35</v>
      </c>
    </row>
    <row r="101" customFormat="false" ht="15" hidden="false" customHeight="false" outlineLevel="0" collapsed="false">
      <c r="A101" s="7" t="n">
        <v>100</v>
      </c>
      <c r="B101" s="8" t="s">
        <v>323</v>
      </c>
      <c r="C101" s="9" t="s">
        <v>324</v>
      </c>
      <c r="D101" s="10" t="s">
        <v>30</v>
      </c>
      <c r="E101" s="10" t="n">
        <v>1998</v>
      </c>
      <c r="F101" s="7" t="str">
        <f aca="false">IF(E101="","",IF(E101&lt;1970,"Abyad w eswed",IF(E101&lt;2000,"70s-90s",IF(E101&lt;2015,"2000s","Gedeed"))))</f>
        <v>70s-90s</v>
      </c>
      <c r="G101" s="10" t="s">
        <v>57</v>
      </c>
      <c r="H101" s="9" t="s">
        <v>32</v>
      </c>
      <c r="I101" s="11" t="s">
        <v>325</v>
      </c>
      <c r="J101" s="11" t="s">
        <v>326</v>
      </c>
      <c r="K101" s="11"/>
      <c r="L101" s="12" t="str">
        <f aca="false">IF(B101="","",IF(LEFT(TRIM(B101),2)="ال",MID(TRIM(B101),3,1),LEFT(TRIM(B101),1)))</f>
        <v>ص</v>
      </c>
      <c r="M101" s="7" t="n">
        <f aca="false">IF(B101="","",LEN(TRIM(B101))-LEN(SUBSTITUTE(TRIM(B101)," ",""))+1)</f>
        <v>4</v>
      </c>
      <c r="N101" s="10" t="s">
        <v>35</v>
      </c>
    </row>
    <row r="102" customFormat="false" ht="15" hidden="false" customHeight="false" outlineLevel="0" collapsed="false">
      <c r="A102" s="7" t="n">
        <v>101</v>
      </c>
      <c r="B102" s="8" t="s">
        <v>327</v>
      </c>
      <c r="C102" s="9" t="s">
        <v>328</v>
      </c>
      <c r="D102" s="10" t="s">
        <v>30</v>
      </c>
      <c r="E102" s="10" t="n">
        <v>1998</v>
      </c>
      <c r="F102" s="7" t="str">
        <f aca="false">IF(E102="","",IF(E102&lt;1970,"Abyad w eswed",IF(E102&lt;2000,"70s-90s",IF(E102&lt;2015,"2000s","Gedeed"))))</f>
        <v>70s-90s</v>
      </c>
      <c r="G102" s="10" t="s">
        <v>31</v>
      </c>
      <c r="H102" s="9" t="s">
        <v>53</v>
      </c>
      <c r="I102" s="11" t="s">
        <v>329</v>
      </c>
      <c r="J102" s="11"/>
      <c r="K102" s="11"/>
      <c r="L102" s="12" t="str">
        <f aca="false">IF(B102="","",IF(LEFT(TRIM(B102),2)="ال",MID(TRIM(B102),3,1),LEFT(TRIM(B102),1)))</f>
        <v>ع</v>
      </c>
      <c r="M102" s="7" t="n">
        <f aca="false">IF(B102="","",LEN(TRIM(B102))-LEN(SUBSTITUTE(TRIM(B102)," ",""))+1)</f>
        <v>2</v>
      </c>
      <c r="N102" s="10" t="s">
        <v>42</v>
      </c>
    </row>
    <row r="103" customFormat="false" ht="15" hidden="false" customHeight="false" outlineLevel="0" collapsed="false">
      <c r="A103" s="7" t="n">
        <v>102</v>
      </c>
      <c r="B103" s="8" t="s">
        <v>330</v>
      </c>
      <c r="C103" s="9" t="s">
        <v>331</v>
      </c>
      <c r="D103" s="10" t="s">
        <v>30</v>
      </c>
      <c r="E103" s="10" t="n">
        <v>1999</v>
      </c>
      <c r="F103" s="7" t="str">
        <f aca="false">IF(E103="","",IF(E103&lt;1970,"Abyad w eswed",IF(E103&lt;2000,"70s-90s",IF(E103&lt;2015,"2000s","Gedeed"))))</f>
        <v>70s-90s</v>
      </c>
      <c r="G103" s="10" t="s">
        <v>45</v>
      </c>
      <c r="H103" s="9" t="s">
        <v>32</v>
      </c>
      <c r="I103" s="11" t="s">
        <v>194</v>
      </c>
      <c r="J103" s="11" t="s">
        <v>332</v>
      </c>
      <c r="K103" s="11"/>
      <c r="L103" s="12" t="str">
        <f aca="false">IF(B103="","",IF(LEFT(TRIM(B103),2)="ال",MID(TRIM(B103),3,1),LEFT(TRIM(B103),1)))</f>
        <v>و</v>
      </c>
      <c r="M103" s="7" t="n">
        <f aca="false">IF(B103="","",LEN(TRIM(B103))-LEN(SUBSTITUTE(TRIM(B103)," ",""))+1)</f>
        <v>4</v>
      </c>
      <c r="N103" s="10" t="s">
        <v>35</v>
      </c>
    </row>
    <row r="104" customFormat="false" ht="15" hidden="false" customHeight="false" outlineLevel="0" collapsed="false">
      <c r="A104" s="7" t="n">
        <v>103</v>
      </c>
      <c r="B104" s="8" t="s">
        <v>333</v>
      </c>
      <c r="C104" s="9" t="s">
        <v>334</v>
      </c>
      <c r="D104" s="10" t="s">
        <v>30</v>
      </c>
      <c r="E104" s="10" t="n">
        <v>1999</v>
      </c>
      <c r="F104" s="7" t="str">
        <f aca="false">IF(E104="","",IF(E104&lt;1970,"Abyad w eswed",IF(E104&lt;2000,"70s-90s",IF(E104&lt;2015,"2000s","Gedeed"))))</f>
        <v>70s-90s</v>
      </c>
      <c r="G104" s="10" t="s">
        <v>57</v>
      </c>
      <c r="H104" s="9" t="s">
        <v>32</v>
      </c>
      <c r="I104" s="11" t="s">
        <v>335</v>
      </c>
      <c r="J104" s="11" t="s">
        <v>336</v>
      </c>
      <c r="K104" s="11"/>
      <c r="L104" s="12" t="str">
        <f aca="false">IF(B104="","",IF(LEFT(TRIM(B104),2)="ال",MID(TRIM(B104),3,1),LEFT(TRIM(B104),1)))</f>
        <v>ع</v>
      </c>
      <c r="M104" s="7" t="n">
        <f aca="false">IF(B104="","",LEN(TRIM(B104))-LEN(SUBSTITUTE(TRIM(B104)," ",""))+1)</f>
        <v>3</v>
      </c>
      <c r="N104" s="10" t="s">
        <v>35</v>
      </c>
    </row>
    <row r="105" customFormat="false" ht="15" hidden="false" customHeight="false" outlineLevel="0" collapsed="false">
      <c r="A105" s="7" t="n">
        <v>104</v>
      </c>
      <c r="B105" s="8" t="s">
        <v>337</v>
      </c>
      <c r="C105" s="9" t="s">
        <v>338</v>
      </c>
      <c r="D105" s="10" t="s">
        <v>30</v>
      </c>
      <c r="E105" s="10" t="n">
        <v>1999</v>
      </c>
      <c r="F105" s="7" t="str">
        <f aca="false">IF(E105="","",IF(E105&lt;1970,"Abyad w eswed",IF(E105&lt;2000,"70s-90s",IF(E105&lt;2015,"2000s","Gedeed"))))</f>
        <v>70s-90s</v>
      </c>
      <c r="G105" s="10" t="s">
        <v>57</v>
      </c>
      <c r="H105" s="9" t="s">
        <v>32</v>
      </c>
      <c r="I105" s="11" t="s">
        <v>325</v>
      </c>
      <c r="J105" s="11" t="s">
        <v>339</v>
      </c>
      <c r="K105" s="11"/>
      <c r="L105" s="12" t="str">
        <f aca="false">IF(B105="","",IF(LEFT(TRIM(B105),2)="ال",MID(TRIM(B105),3,1),LEFT(TRIM(B105),1)))</f>
        <v>ه</v>
      </c>
      <c r="M105" s="7" t="n">
        <f aca="false">IF(B105="","",LEN(TRIM(B105))-LEN(SUBSTITUTE(TRIM(B105)," ",""))+1)</f>
        <v>3</v>
      </c>
      <c r="N105" s="10" t="s">
        <v>35</v>
      </c>
    </row>
    <row r="106" customFormat="false" ht="15" hidden="false" customHeight="false" outlineLevel="0" collapsed="false">
      <c r="A106" s="7" t="n">
        <v>105</v>
      </c>
      <c r="B106" s="8" t="s">
        <v>340</v>
      </c>
      <c r="C106" s="9" t="s">
        <v>341</v>
      </c>
      <c r="D106" s="10" t="s">
        <v>30</v>
      </c>
      <c r="E106" s="10" t="n">
        <v>2000</v>
      </c>
      <c r="F106" s="7" t="str">
        <f aca="false">IF(E106="","",IF(E106&lt;1970,"Abyad w eswed",IF(E106&lt;2000,"70s-90s",IF(E106&lt;2015,"2000s","Gedeed"))))</f>
        <v>2000s</v>
      </c>
      <c r="G106" s="10" t="s">
        <v>31</v>
      </c>
      <c r="H106" s="9" t="s">
        <v>104</v>
      </c>
      <c r="I106" s="11" t="s">
        <v>238</v>
      </c>
      <c r="J106" s="11" t="s">
        <v>342</v>
      </c>
      <c r="K106" s="11"/>
      <c r="L106" s="12" t="str">
        <f aca="false">IF(B106="","",IF(LEFT(TRIM(B106),2)="ال",MID(TRIM(B106),3,1),LEFT(TRIM(B106),1)))</f>
        <v>أ</v>
      </c>
      <c r="M106" s="7" t="n">
        <f aca="false">IF(B106="","",LEN(TRIM(B106))-LEN(SUBSTITUTE(TRIM(B106)," ",""))+1)</f>
        <v>2</v>
      </c>
      <c r="N106" s="10" t="s">
        <v>35</v>
      </c>
    </row>
    <row r="107" customFormat="false" ht="15" hidden="false" customHeight="false" outlineLevel="0" collapsed="false">
      <c r="A107" s="7" t="n">
        <v>106</v>
      </c>
      <c r="B107" s="8" t="s">
        <v>343</v>
      </c>
      <c r="C107" s="9" t="s">
        <v>344</v>
      </c>
      <c r="D107" s="10" t="s">
        <v>30</v>
      </c>
      <c r="E107" s="10" t="n">
        <v>2000</v>
      </c>
      <c r="F107" s="7" t="str">
        <f aca="false">IF(E107="","",IF(E107&lt;1970,"Abyad w eswed",IF(E107&lt;2000,"70s-90s",IF(E107&lt;2015,"2000s","Gedeed"))))</f>
        <v>2000s</v>
      </c>
      <c r="G107" s="10" t="s">
        <v>57</v>
      </c>
      <c r="H107" s="9" t="s">
        <v>32</v>
      </c>
      <c r="I107" s="11" t="s">
        <v>335</v>
      </c>
      <c r="J107" s="11" t="s">
        <v>345</v>
      </c>
      <c r="K107" s="11"/>
      <c r="L107" s="12" t="str">
        <f aca="false">IF(B107="","",IF(LEFT(TRIM(B107),2)="ال",MID(TRIM(B107),3,1),LEFT(TRIM(B107),1)))</f>
        <v>ن</v>
      </c>
      <c r="M107" s="7" t="n">
        <f aca="false">IF(B107="","",LEN(TRIM(B107))-LEN(SUBSTITUTE(TRIM(B107)," ",""))+1)</f>
        <v>1</v>
      </c>
      <c r="N107" s="10" t="s">
        <v>35</v>
      </c>
    </row>
    <row r="108" customFormat="false" ht="15" hidden="false" customHeight="false" outlineLevel="0" collapsed="false">
      <c r="A108" s="7" t="n">
        <v>107</v>
      </c>
      <c r="B108" s="8" t="s">
        <v>346</v>
      </c>
      <c r="C108" s="9" t="s">
        <v>347</v>
      </c>
      <c r="D108" s="10" t="s">
        <v>30</v>
      </c>
      <c r="E108" s="10" t="n">
        <v>2000</v>
      </c>
      <c r="F108" s="7" t="str">
        <f aca="false">IF(E108="","",IF(E108&lt;1970,"Abyad w eswed",IF(E108&lt;2000,"70s-90s",IF(E108&lt;2015,"2000s","Gedeed"))))</f>
        <v>2000s</v>
      </c>
      <c r="G108" s="10" t="s">
        <v>45</v>
      </c>
      <c r="H108" s="9" t="s">
        <v>251</v>
      </c>
      <c r="I108" s="11" t="s">
        <v>348</v>
      </c>
      <c r="J108" s="11"/>
      <c r="K108" s="11"/>
      <c r="L108" s="12" t="str">
        <f aca="false">IF(B108="","",IF(LEFT(TRIM(B108),2)="ال",MID(TRIM(B108),3,1),LEFT(TRIM(B108),1)))</f>
        <v>ش</v>
      </c>
      <c r="M108" s="7" t="n">
        <f aca="false">IF(B108="","",LEN(TRIM(B108))-LEN(SUBSTITUTE(TRIM(B108)," ",""))+1)</f>
        <v>3</v>
      </c>
      <c r="N108" s="10" t="s">
        <v>35</v>
      </c>
    </row>
    <row r="109" customFormat="false" ht="15" hidden="false" customHeight="false" outlineLevel="0" collapsed="false">
      <c r="A109" s="7" t="n">
        <v>108</v>
      </c>
      <c r="B109" s="8" t="s">
        <v>349</v>
      </c>
      <c r="C109" s="9" t="s">
        <v>350</v>
      </c>
      <c r="D109" s="10" t="s">
        <v>30</v>
      </c>
      <c r="E109" s="10" t="n">
        <v>2001</v>
      </c>
      <c r="F109" s="7" t="str">
        <f aca="false">IF(E109="","",IF(E109&lt;1970,"Abyad w eswed",IF(E109&lt;2000,"70s-90s",IF(E109&lt;2015,"2000s","Gedeed"))))</f>
        <v>2000s</v>
      </c>
      <c r="G109" s="10" t="s">
        <v>45</v>
      </c>
      <c r="H109" s="9" t="s">
        <v>251</v>
      </c>
      <c r="I109" s="11" t="s">
        <v>348</v>
      </c>
      <c r="J109" s="11"/>
      <c r="K109" s="11"/>
      <c r="L109" s="12" t="str">
        <f aca="false">IF(B109="","",IF(LEFT(TRIM(B109),2)="ال",MID(TRIM(B109),3,1),LEFT(TRIM(B109),1)))</f>
        <v>أ</v>
      </c>
      <c r="M109" s="7" t="n">
        <f aca="false">IF(B109="","",LEN(TRIM(B109))-LEN(SUBSTITUTE(TRIM(B109)," ",""))+1)</f>
        <v>1</v>
      </c>
      <c r="N109" s="10" t="s">
        <v>42</v>
      </c>
    </row>
    <row r="110" customFormat="false" ht="15" hidden="false" customHeight="false" outlineLevel="0" collapsed="false">
      <c r="A110" s="7" t="n">
        <v>109</v>
      </c>
      <c r="B110" s="8" t="s">
        <v>351</v>
      </c>
      <c r="C110" s="9" t="s">
        <v>352</v>
      </c>
      <c r="D110" s="10" t="s">
        <v>30</v>
      </c>
      <c r="E110" s="10" t="n">
        <v>2001</v>
      </c>
      <c r="F110" s="7" t="str">
        <f aca="false">IF(E110="","",IF(E110&lt;1970,"Abyad w eswed",IF(E110&lt;2000,"70s-90s",IF(E110&lt;2015,"2000s","Gedeed"))))</f>
        <v>2000s</v>
      </c>
      <c r="G110" s="10" t="s">
        <v>45</v>
      </c>
      <c r="H110" s="9" t="s">
        <v>114</v>
      </c>
      <c r="I110" s="11" t="s">
        <v>238</v>
      </c>
      <c r="J110" s="11" t="s">
        <v>353</v>
      </c>
      <c r="K110" s="11"/>
      <c r="L110" s="12" t="str">
        <f aca="false">IF(B110="","",IF(LEFT(TRIM(B110),2)="ال",MID(TRIM(B110),3,1),LEFT(TRIM(B110),1)))</f>
        <v>أ</v>
      </c>
      <c r="M110" s="7" t="n">
        <f aca="false">IF(B110="","",LEN(TRIM(B110))-LEN(SUBSTITUTE(TRIM(B110)," ",""))+1)</f>
        <v>2</v>
      </c>
      <c r="N110" s="10" t="s">
        <v>35</v>
      </c>
    </row>
    <row r="111" customFormat="false" ht="15" hidden="false" customHeight="false" outlineLevel="0" collapsed="false">
      <c r="A111" s="7" t="n">
        <v>110</v>
      </c>
      <c r="B111" s="8" t="s">
        <v>354</v>
      </c>
      <c r="C111" s="9" t="s">
        <v>355</v>
      </c>
      <c r="D111" s="10" t="s">
        <v>30</v>
      </c>
      <c r="E111" s="10" t="n">
        <v>2001</v>
      </c>
      <c r="F111" s="7" t="str">
        <f aca="false">IF(E111="","",IF(E111&lt;1970,"Abyad w eswed",IF(E111&lt;2000,"70s-90s",IF(E111&lt;2015,"2000s","Gedeed"))))</f>
        <v>2000s</v>
      </c>
      <c r="G111" s="10" t="s">
        <v>45</v>
      </c>
      <c r="H111" s="9" t="s">
        <v>32</v>
      </c>
      <c r="I111" s="11" t="s">
        <v>335</v>
      </c>
      <c r="J111" s="11"/>
      <c r="K111" s="11"/>
      <c r="L111" s="12" t="str">
        <f aca="false">IF(B111="","",IF(LEFT(TRIM(B111),2)="ال",MID(TRIM(B111),3,1),LEFT(TRIM(B111),1)))</f>
        <v>ا</v>
      </c>
      <c r="M111" s="7" t="n">
        <f aca="false">IF(B111="","",LEN(TRIM(B111))-LEN(SUBSTITUTE(TRIM(B111)," ",""))+1)</f>
        <v>2</v>
      </c>
      <c r="N111" s="10" t="s">
        <v>42</v>
      </c>
    </row>
    <row r="112" customFormat="false" ht="15" hidden="false" customHeight="false" outlineLevel="0" collapsed="false">
      <c r="A112" s="7" t="n">
        <v>111</v>
      </c>
      <c r="B112" s="8" t="s">
        <v>356</v>
      </c>
      <c r="C112" s="9" t="s">
        <v>357</v>
      </c>
      <c r="D112" s="10" t="s">
        <v>30</v>
      </c>
      <c r="E112" s="10" t="n">
        <v>2001</v>
      </c>
      <c r="F112" s="7" t="str">
        <f aca="false">IF(E112="","",IF(E112&lt;1970,"Abyad w eswed",IF(E112&lt;2000,"70s-90s",IF(E112&lt;2015,"2000s","Gedeed"))))</f>
        <v>2000s</v>
      </c>
      <c r="G112" s="10" t="s">
        <v>45</v>
      </c>
      <c r="H112" s="9" t="s">
        <v>32</v>
      </c>
      <c r="I112" s="11" t="s">
        <v>229</v>
      </c>
      <c r="J112" s="11"/>
      <c r="K112" s="11"/>
      <c r="L112" s="12" t="str">
        <f aca="false">IF(B112="","",IF(LEFT(TRIM(B112),2)="ال",MID(TRIM(B112),3,1),LEFT(TRIM(B112),1)))</f>
        <v>س</v>
      </c>
      <c r="M112" s="7" t="n">
        <f aca="false">IF(B112="","",LEN(TRIM(B112))-LEN(SUBSTITUTE(TRIM(B112)," ",""))+1)</f>
        <v>1</v>
      </c>
      <c r="N112" s="10" t="s">
        <v>35</v>
      </c>
    </row>
    <row r="113" customFormat="false" ht="15" hidden="false" customHeight="false" outlineLevel="0" collapsed="false">
      <c r="A113" s="7" t="n">
        <v>112</v>
      </c>
      <c r="B113" s="8" t="s">
        <v>358</v>
      </c>
      <c r="C113" s="9" t="s">
        <v>359</v>
      </c>
      <c r="D113" s="10" t="s">
        <v>30</v>
      </c>
      <c r="E113" s="10" t="n">
        <v>2001</v>
      </c>
      <c r="F113" s="7" t="str">
        <f aca="false">IF(E113="","",IF(E113&lt;1970,"Abyad w eswed",IF(E113&lt;2000,"70s-90s",IF(E113&lt;2015,"2000s","Gedeed"))))</f>
        <v>2000s</v>
      </c>
      <c r="G113" s="10" t="s">
        <v>45</v>
      </c>
      <c r="H113" s="9" t="s">
        <v>68</v>
      </c>
      <c r="I113" s="11" t="s">
        <v>360</v>
      </c>
      <c r="J113" s="11"/>
      <c r="K113" s="11"/>
      <c r="L113" s="12" t="str">
        <f aca="false">IF(B113="","",IF(LEFT(TRIM(B113),2)="ال",MID(TRIM(B113),3,1),LEFT(TRIM(B113),1)))</f>
        <v>س</v>
      </c>
      <c r="M113" s="7" t="n">
        <f aca="false">IF(B113="","",LEN(TRIM(B113))-LEN(SUBSTITUTE(TRIM(B113)," ",""))+1)</f>
        <v>2</v>
      </c>
      <c r="N113" s="10" t="s">
        <v>42</v>
      </c>
    </row>
    <row r="114" customFormat="false" ht="15" hidden="false" customHeight="false" outlineLevel="0" collapsed="false">
      <c r="A114" s="7" t="n">
        <v>113</v>
      </c>
      <c r="B114" s="8" t="s">
        <v>361</v>
      </c>
      <c r="C114" s="9" t="s">
        <v>362</v>
      </c>
      <c r="D114" s="10" t="s">
        <v>30</v>
      </c>
      <c r="E114" s="10" t="n">
        <v>2001</v>
      </c>
      <c r="F114" s="7" t="str">
        <f aca="false">IF(E114="","",IF(E114&lt;1970,"Abyad w eswed",IF(E114&lt;2000,"70s-90s",IF(E114&lt;2015,"2000s","Gedeed"))))</f>
        <v>2000s</v>
      </c>
      <c r="G114" s="10" t="s">
        <v>45</v>
      </c>
      <c r="H114" s="9" t="s">
        <v>32</v>
      </c>
      <c r="I114" s="11" t="s">
        <v>325</v>
      </c>
      <c r="J114" s="11"/>
      <c r="K114" s="11"/>
      <c r="L114" s="12" t="str">
        <f aca="false">IF(B114="","",IF(LEFT(TRIM(B114),2)="ال",MID(TRIM(B114),3,1),LEFT(TRIM(B114),1)))</f>
        <v>ج</v>
      </c>
      <c r="M114" s="7" t="n">
        <f aca="false">IF(B114="","",LEN(TRIM(B114))-LEN(SUBSTITUTE(TRIM(B114)," ",""))+1)</f>
        <v>3</v>
      </c>
      <c r="N114" s="10" t="s">
        <v>35</v>
      </c>
    </row>
    <row r="115" customFormat="false" ht="15" hidden="false" customHeight="false" outlineLevel="0" collapsed="false">
      <c r="A115" s="7" t="n">
        <v>114</v>
      </c>
      <c r="B115" s="8" t="s">
        <v>363</v>
      </c>
      <c r="C115" s="9" t="s">
        <v>364</v>
      </c>
      <c r="D115" s="10" t="s">
        <v>30</v>
      </c>
      <c r="E115" s="10" t="n">
        <v>2001</v>
      </c>
      <c r="F115" s="7" t="str">
        <f aca="false">IF(E115="","",IF(E115&lt;1970,"Abyad w eswed",IF(E115&lt;2000,"70s-90s",IF(E115&lt;2015,"2000s","Gedeed"))))</f>
        <v>2000s</v>
      </c>
      <c r="G115" s="10" t="s">
        <v>45</v>
      </c>
      <c r="H115" s="9" t="s">
        <v>32</v>
      </c>
      <c r="I115" s="11" t="s">
        <v>365</v>
      </c>
      <c r="J115" s="11"/>
      <c r="K115" s="11"/>
      <c r="L115" s="12" t="str">
        <f aca="false">IF(B115="","",IF(LEFT(TRIM(B115),2)="ال",MID(TRIM(B115),3,1),LEFT(TRIM(B115),1)))</f>
        <v>ج</v>
      </c>
      <c r="M115" s="7" t="n">
        <f aca="false">IF(B115="","",LEN(TRIM(B115))-LEN(SUBSTITUTE(TRIM(B115)," ",""))+1)</f>
        <v>3</v>
      </c>
      <c r="N115" s="10" t="s">
        <v>35</v>
      </c>
    </row>
    <row r="116" customFormat="false" ht="15" hidden="false" customHeight="false" outlineLevel="0" collapsed="false">
      <c r="A116" s="7" t="n">
        <v>115</v>
      </c>
      <c r="B116" s="8" t="s">
        <v>366</v>
      </c>
      <c r="C116" s="9" t="s">
        <v>367</v>
      </c>
      <c r="D116" s="10" t="s">
        <v>30</v>
      </c>
      <c r="E116" s="10" t="n">
        <v>2002</v>
      </c>
      <c r="F116" s="7" t="str">
        <f aca="false">IF(E116="","",IF(E116&lt;1970,"Abyad w eswed",IF(E116&lt;2000,"70s-90s",IF(E116&lt;2015,"2000s","Gedeed"))))</f>
        <v>2000s</v>
      </c>
      <c r="G116" s="10" t="s">
        <v>45</v>
      </c>
      <c r="H116" s="9" t="s">
        <v>53</v>
      </c>
      <c r="I116" s="11" t="s">
        <v>194</v>
      </c>
      <c r="J116" s="11"/>
      <c r="K116" s="11"/>
      <c r="L116" s="12" t="str">
        <f aca="false">IF(B116="","",IF(LEFT(TRIM(B116),2)="ال",MID(TRIM(B116),3,1),LEFT(TRIM(B116),1)))</f>
        <v>أ</v>
      </c>
      <c r="M116" s="7" t="n">
        <f aca="false">IF(B116="","",LEN(TRIM(B116))-LEN(SUBSTITUTE(TRIM(B116)," ",""))+1)</f>
        <v>2</v>
      </c>
      <c r="N116" s="10" t="s">
        <v>35</v>
      </c>
    </row>
    <row r="117" customFormat="false" ht="15" hidden="false" customHeight="false" outlineLevel="0" collapsed="false">
      <c r="A117" s="7" t="n">
        <v>116</v>
      </c>
      <c r="B117" s="8" t="s">
        <v>368</v>
      </c>
      <c r="C117" s="9" t="s">
        <v>369</v>
      </c>
      <c r="D117" s="10" t="s">
        <v>30</v>
      </c>
      <c r="E117" s="10" t="n">
        <v>2002</v>
      </c>
      <c r="F117" s="7" t="str">
        <f aca="false">IF(E117="","",IF(E117&lt;1970,"Abyad w eswed",IF(E117&lt;2000,"70s-90s",IF(E117&lt;2015,"2000s","Gedeed"))))</f>
        <v>2000s</v>
      </c>
      <c r="G117" s="10" t="s">
        <v>57</v>
      </c>
      <c r="H117" s="9" t="s">
        <v>32</v>
      </c>
      <c r="I117" s="11" t="s">
        <v>370</v>
      </c>
      <c r="J117" s="11" t="s">
        <v>368</v>
      </c>
      <c r="K117" s="11"/>
      <c r="L117" s="12" t="str">
        <f aca="false">IF(B117="","",IF(LEFT(TRIM(B117),2)="ال",MID(TRIM(B117),3,1),LEFT(TRIM(B117),1)))</f>
        <v>ل</v>
      </c>
      <c r="M117" s="7" t="n">
        <f aca="false">IF(B117="","",LEN(TRIM(B117))-LEN(SUBSTITUTE(TRIM(B117)," ",""))+1)</f>
        <v>1</v>
      </c>
      <c r="N117" s="10" t="s">
        <v>35</v>
      </c>
    </row>
    <row r="118" customFormat="false" ht="15" hidden="false" customHeight="false" outlineLevel="0" collapsed="false">
      <c r="A118" s="7" t="n">
        <v>117</v>
      </c>
      <c r="B118" s="8" t="s">
        <v>371</v>
      </c>
      <c r="C118" s="9" t="s">
        <v>372</v>
      </c>
      <c r="D118" s="10" t="s">
        <v>30</v>
      </c>
      <c r="E118" s="10" t="n">
        <v>2002</v>
      </c>
      <c r="F118" s="7" t="str">
        <f aca="false">IF(E118="","",IF(E118&lt;1970,"Abyad w eswed",IF(E118&lt;2000,"70s-90s",IF(E118&lt;2015,"2000s","Gedeed"))))</f>
        <v>2000s</v>
      </c>
      <c r="G118" s="10" t="s">
        <v>57</v>
      </c>
      <c r="H118" s="9" t="s">
        <v>32</v>
      </c>
      <c r="I118" s="11" t="s">
        <v>373</v>
      </c>
      <c r="J118" s="11"/>
      <c r="K118" s="11"/>
      <c r="L118" s="12" t="str">
        <f aca="false">IF(B118="","",IF(LEFT(TRIM(B118),2)="ال",MID(TRIM(B118),3,1),LEFT(TRIM(B118),1)))</f>
        <v>ح</v>
      </c>
      <c r="M118" s="7" t="n">
        <f aca="false">IF(B118="","",LEN(TRIM(B118))-LEN(SUBSTITUTE(TRIM(B118)," ",""))+1)</f>
        <v>5</v>
      </c>
      <c r="N118" s="10" t="s">
        <v>35</v>
      </c>
    </row>
    <row r="119" customFormat="false" ht="15" hidden="false" customHeight="false" outlineLevel="0" collapsed="false">
      <c r="A119" s="7" t="n">
        <v>118</v>
      </c>
      <c r="B119" s="8" t="s">
        <v>374</v>
      </c>
      <c r="C119" s="9" t="s">
        <v>375</v>
      </c>
      <c r="D119" s="10" t="s">
        <v>30</v>
      </c>
      <c r="E119" s="10" t="n">
        <v>2002</v>
      </c>
      <c r="F119" s="7" t="str">
        <f aca="false">IF(E119="","",IF(E119&lt;1970,"Abyad w eswed",IF(E119&lt;2000,"70s-90s",IF(E119&lt;2015,"2000s","Gedeed"))))</f>
        <v>2000s</v>
      </c>
      <c r="G119" s="10" t="s">
        <v>45</v>
      </c>
      <c r="H119" s="9" t="s">
        <v>32</v>
      </c>
      <c r="I119" s="11" t="s">
        <v>325</v>
      </c>
      <c r="J119" s="11"/>
      <c r="K119" s="11"/>
      <c r="L119" s="12" t="str">
        <f aca="false">IF(B119="","",IF(LEFT(TRIM(B119),2)="ال",MID(TRIM(B119),3,1),LEFT(TRIM(B119),1)))</f>
        <v>ص</v>
      </c>
      <c r="M119" s="7" t="n">
        <f aca="false">IF(B119="","",LEN(TRIM(B119))-LEN(SUBSTITUTE(TRIM(B119)," ",""))+1)</f>
        <v>2</v>
      </c>
      <c r="N119" s="10" t="s">
        <v>35</v>
      </c>
    </row>
    <row r="120" customFormat="false" ht="15" hidden="false" customHeight="false" outlineLevel="0" collapsed="false">
      <c r="A120" s="7" t="n">
        <v>119</v>
      </c>
      <c r="B120" s="8" t="s">
        <v>376</v>
      </c>
      <c r="C120" s="9" t="s">
        <v>377</v>
      </c>
      <c r="D120" s="10" t="s">
        <v>30</v>
      </c>
      <c r="E120" s="10" t="n">
        <v>2002</v>
      </c>
      <c r="F120" s="7" t="str">
        <f aca="false">IF(E120="","",IF(E120&lt;1970,"Abyad w eswed",IF(E120&lt;2000,"70s-90s",IF(E120&lt;2015,"2000s","Gedeed"))))</f>
        <v>2000s</v>
      </c>
      <c r="G120" s="10" t="s">
        <v>45</v>
      </c>
      <c r="H120" s="9" t="s">
        <v>251</v>
      </c>
      <c r="I120" s="11" t="s">
        <v>348</v>
      </c>
      <c r="J120" s="11"/>
      <c r="K120" s="11"/>
      <c r="L120" s="12" t="str">
        <f aca="false">IF(B120="","",IF(LEFT(TRIM(B120),2)="ال",MID(TRIM(B120),3,1),LEFT(TRIM(B120),1)))</f>
        <v>م</v>
      </c>
      <c r="M120" s="7" t="n">
        <f aca="false">IF(B120="","",LEN(TRIM(B120))-LEN(SUBSTITUTE(TRIM(B120)," ",""))+1)</f>
        <v>1</v>
      </c>
      <c r="N120" s="10" t="s">
        <v>35</v>
      </c>
    </row>
    <row r="121" customFormat="false" ht="15" hidden="false" customHeight="false" outlineLevel="0" collapsed="false">
      <c r="A121" s="7" t="n">
        <v>120</v>
      </c>
      <c r="B121" s="8" t="s">
        <v>378</v>
      </c>
      <c r="C121" s="9" t="s">
        <v>379</v>
      </c>
      <c r="D121" s="10" t="s">
        <v>30</v>
      </c>
      <c r="E121" s="10" t="n">
        <v>2002</v>
      </c>
      <c r="F121" s="7" t="str">
        <f aca="false">IF(E121="","",IF(E121&lt;1970,"Abyad w eswed",IF(E121&lt;2000,"70s-90s",IF(E121&lt;2015,"2000s","Gedeed"))))</f>
        <v>2000s</v>
      </c>
      <c r="G121" s="10" t="s">
        <v>45</v>
      </c>
      <c r="H121" s="9" t="s">
        <v>32</v>
      </c>
      <c r="I121" s="11" t="s">
        <v>365</v>
      </c>
      <c r="J121" s="11"/>
      <c r="K121" s="11"/>
      <c r="L121" s="12" t="str">
        <f aca="false">IF(B121="","",IF(LEFT(TRIM(B121),2)="ال",MID(TRIM(B121),3,1),LEFT(TRIM(B121),1)))</f>
        <v>م</v>
      </c>
      <c r="M121" s="7" t="n">
        <f aca="false">IF(B121="","",LEN(TRIM(B121))-LEN(SUBSTITUTE(TRIM(B121)," ",""))+1)</f>
        <v>2</v>
      </c>
      <c r="N121" s="10" t="s">
        <v>35</v>
      </c>
    </row>
    <row r="122" customFormat="false" ht="15" hidden="false" customHeight="false" outlineLevel="0" collapsed="false">
      <c r="A122" s="7" t="n">
        <v>121</v>
      </c>
      <c r="B122" s="8" t="s">
        <v>380</v>
      </c>
      <c r="C122" s="9" t="s">
        <v>381</v>
      </c>
      <c r="D122" s="10" t="s">
        <v>30</v>
      </c>
      <c r="E122" s="10" t="n">
        <v>2002</v>
      </c>
      <c r="F122" s="7" t="str">
        <f aca="false">IF(E122="","",IF(E122&lt;1970,"Abyad w eswed",IF(E122&lt;2000,"70s-90s",IF(E122&lt;2015,"2000s","Gedeed"))))</f>
        <v>2000s</v>
      </c>
      <c r="G122" s="10" t="s">
        <v>45</v>
      </c>
      <c r="H122" s="9" t="s">
        <v>53</v>
      </c>
      <c r="I122" s="11" t="s">
        <v>238</v>
      </c>
      <c r="J122" s="11" t="s">
        <v>382</v>
      </c>
      <c r="K122" s="11"/>
      <c r="L122" s="12" t="str">
        <f aca="false">IF(B122="","",IF(LEFT(TRIM(B122),2)="ال",MID(TRIM(B122),3,1),LEFT(TRIM(B122),1)))</f>
        <v>م</v>
      </c>
      <c r="M122" s="7" t="n">
        <f aca="false">IF(B122="","",LEN(TRIM(B122))-LEN(SUBSTITUTE(TRIM(B122)," ",""))+1)</f>
        <v>2</v>
      </c>
      <c r="N122" s="10" t="s">
        <v>35</v>
      </c>
    </row>
    <row r="123" customFormat="false" ht="15" hidden="false" customHeight="false" outlineLevel="0" collapsed="false">
      <c r="A123" s="7" t="n">
        <v>122</v>
      </c>
      <c r="B123" s="8" t="s">
        <v>383</v>
      </c>
      <c r="C123" s="9" t="s">
        <v>384</v>
      </c>
      <c r="D123" s="10" t="s">
        <v>30</v>
      </c>
      <c r="E123" s="10" t="n">
        <v>2003</v>
      </c>
      <c r="F123" s="7" t="str">
        <f aca="false">IF(E123="","",IF(E123&lt;1970,"Abyad w eswed",IF(E123&lt;2000,"70s-90s",IF(E123&lt;2015,"2000s","Gedeed"))))</f>
        <v>2000s</v>
      </c>
      <c r="G123" s="10" t="s">
        <v>45</v>
      </c>
      <c r="H123" s="9" t="s">
        <v>32</v>
      </c>
      <c r="I123" s="11" t="s">
        <v>194</v>
      </c>
      <c r="J123" s="11" t="s">
        <v>385</v>
      </c>
      <c r="K123" s="11"/>
      <c r="L123" s="12" t="str">
        <f aca="false">IF(B123="","",IF(LEFT(TRIM(B123),2)="ال",MID(TRIM(B123),3,1),LEFT(TRIM(B123),1)))</f>
        <v>ت</v>
      </c>
      <c r="M123" s="7" t="n">
        <f aca="false">IF(B123="","",LEN(TRIM(B123))-LEN(SUBSTITUTE(TRIM(B123)," ",""))+1)</f>
        <v>2</v>
      </c>
      <c r="N123" s="10" t="s">
        <v>35</v>
      </c>
    </row>
    <row r="124" customFormat="false" ht="15" hidden="false" customHeight="false" outlineLevel="0" collapsed="false">
      <c r="A124" s="7" t="n">
        <v>123</v>
      </c>
      <c r="B124" s="8" t="s">
        <v>386</v>
      </c>
      <c r="C124" s="9" t="s">
        <v>387</v>
      </c>
      <c r="D124" s="10" t="s">
        <v>30</v>
      </c>
      <c r="E124" s="10" t="n">
        <v>2003</v>
      </c>
      <c r="F124" s="7" t="str">
        <f aca="false">IF(E124="","",IF(E124&lt;1970,"Abyad w eswed",IF(E124&lt;2000,"70s-90s",IF(E124&lt;2015,"2000s","Gedeed"))))</f>
        <v>2000s</v>
      </c>
      <c r="G124" s="10" t="s">
        <v>57</v>
      </c>
      <c r="H124" s="9" t="s">
        <v>32</v>
      </c>
      <c r="I124" s="11" t="s">
        <v>370</v>
      </c>
      <c r="J124" s="11" t="s">
        <v>368</v>
      </c>
      <c r="K124" s="11"/>
      <c r="L124" s="12" t="str">
        <f aca="false">IF(B124="","",IF(LEFT(TRIM(B124),2)="ال",MID(TRIM(B124),3,1),LEFT(TRIM(B124),1)))</f>
        <v>ل</v>
      </c>
      <c r="M124" s="7" t="n">
        <f aca="false">IF(B124="","",LEN(TRIM(B124))-LEN(SUBSTITUTE(TRIM(B124)," ",""))+1)</f>
        <v>3</v>
      </c>
      <c r="N124" s="10" t="s">
        <v>35</v>
      </c>
    </row>
    <row r="125" customFormat="false" ht="15" hidden="false" customHeight="false" outlineLevel="0" collapsed="false">
      <c r="A125" s="7" t="n">
        <v>124</v>
      </c>
      <c r="B125" s="8" t="s">
        <v>388</v>
      </c>
      <c r="C125" s="9" t="s">
        <v>389</v>
      </c>
      <c r="D125" s="10" t="s">
        <v>30</v>
      </c>
      <c r="E125" s="10" t="n">
        <v>2003</v>
      </c>
      <c r="F125" s="7" t="str">
        <f aca="false">IF(E125="","",IF(E125&lt;1970,"Abyad w eswed",IF(E125&lt;2000,"70s-90s",IF(E125&lt;2015,"2000s","Gedeed"))))</f>
        <v>2000s</v>
      </c>
      <c r="G125" s="10" t="s">
        <v>45</v>
      </c>
      <c r="H125" s="9" t="s">
        <v>32</v>
      </c>
      <c r="I125" s="11" t="s">
        <v>373</v>
      </c>
      <c r="J125" s="11"/>
      <c r="K125" s="11"/>
      <c r="L125" s="12" t="str">
        <f aca="false">IF(B125="","",IF(LEFT(TRIM(B125),2)="ال",MID(TRIM(B125),3,1),LEFT(TRIM(B125),1)))</f>
        <v>ح</v>
      </c>
      <c r="M125" s="7" t="n">
        <f aca="false">IF(B125="","",LEN(TRIM(B125))-LEN(SUBSTITUTE(TRIM(B125)," ",""))+1)</f>
        <v>3</v>
      </c>
      <c r="N125" s="10" t="s">
        <v>35</v>
      </c>
    </row>
    <row r="126" customFormat="false" ht="15" hidden="false" customHeight="false" outlineLevel="0" collapsed="false">
      <c r="A126" s="7" t="n">
        <v>125</v>
      </c>
      <c r="B126" s="8" t="s">
        <v>390</v>
      </c>
      <c r="C126" s="9" t="s">
        <v>391</v>
      </c>
      <c r="D126" s="10" t="s">
        <v>30</v>
      </c>
      <c r="E126" s="10" t="n">
        <v>2003</v>
      </c>
      <c r="F126" s="7" t="str">
        <f aca="false">IF(E126="","",IF(E126&lt;1970,"Abyad w eswed",IF(E126&lt;2000,"70s-90s",IF(E126&lt;2015,"2000s","Gedeed"))))</f>
        <v>2000s</v>
      </c>
      <c r="G126" s="10" t="s">
        <v>45</v>
      </c>
      <c r="H126" s="9" t="s">
        <v>53</v>
      </c>
      <c r="I126" s="11" t="s">
        <v>392</v>
      </c>
      <c r="J126" s="11"/>
      <c r="K126" s="11"/>
      <c r="L126" s="12" t="str">
        <f aca="false">IF(B126="","",IF(LEFT(TRIM(B126),2)="ال",MID(TRIM(B126),3,1),LEFT(TRIM(B126),1)))</f>
        <v>س</v>
      </c>
      <c r="M126" s="7" t="n">
        <f aca="false">IF(B126="","",LEN(TRIM(B126))-LEN(SUBSTITUTE(TRIM(B126)," ",""))+1)</f>
        <v>2</v>
      </c>
      <c r="N126" s="10" t="s">
        <v>35</v>
      </c>
    </row>
    <row r="127" customFormat="false" ht="15" hidden="false" customHeight="false" outlineLevel="0" collapsed="false">
      <c r="A127" s="7" t="n">
        <v>126</v>
      </c>
      <c r="B127" s="8" t="s">
        <v>393</v>
      </c>
      <c r="C127" s="9" t="s">
        <v>394</v>
      </c>
      <c r="D127" s="10" t="s">
        <v>30</v>
      </c>
      <c r="E127" s="10" t="n">
        <v>2003</v>
      </c>
      <c r="F127" s="7" t="str">
        <f aca="false">IF(E127="","",IF(E127&lt;1970,"Abyad w eswed",IF(E127&lt;2000,"70s-90s",IF(E127&lt;2015,"2000s","Gedeed"))))</f>
        <v>2000s</v>
      </c>
      <c r="G127" s="10" t="s">
        <v>45</v>
      </c>
      <c r="H127" s="9" t="s">
        <v>32</v>
      </c>
      <c r="I127" s="11" t="s">
        <v>365</v>
      </c>
      <c r="J127" s="11" t="s">
        <v>395</v>
      </c>
      <c r="K127" s="11"/>
      <c r="L127" s="12" t="str">
        <f aca="false">IF(B127="","",IF(LEFT(TRIM(B127),2)="ال",MID(TRIM(B127),3,1),LEFT(TRIM(B127),1)))</f>
        <v>ع</v>
      </c>
      <c r="M127" s="7" t="n">
        <f aca="false">IF(B127="","",LEN(TRIM(B127))-LEN(SUBSTITUTE(TRIM(B127)," ",""))+1)</f>
        <v>2</v>
      </c>
      <c r="N127" s="10" t="s">
        <v>35</v>
      </c>
    </row>
    <row r="128" customFormat="false" ht="15" hidden="false" customHeight="false" outlineLevel="0" collapsed="false">
      <c r="A128" s="7" t="n">
        <v>127</v>
      </c>
      <c r="B128" s="8" t="s">
        <v>396</v>
      </c>
      <c r="C128" s="9" t="s">
        <v>397</v>
      </c>
      <c r="D128" s="10" t="s">
        <v>30</v>
      </c>
      <c r="E128" s="10" t="n">
        <v>2003</v>
      </c>
      <c r="F128" s="7" t="str">
        <f aca="false">IF(E128="","",IF(E128&lt;1970,"Abyad w eswed",IF(E128&lt;2000,"70s-90s",IF(E128&lt;2015,"2000s","Gedeed"))))</f>
        <v>2000s</v>
      </c>
      <c r="G128" s="10" t="s">
        <v>45</v>
      </c>
      <c r="H128" s="9" t="s">
        <v>32</v>
      </c>
      <c r="I128" s="11" t="s">
        <v>325</v>
      </c>
      <c r="J128" s="11"/>
      <c r="K128" s="11"/>
      <c r="L128" s="12" t="str">
        <f aca="false">IF(B128="","",IF(LEFT(TRIM(B128),2)="ال",MID(TRIM(B128),3,1),LEFT(TRIM(B128),1)))</f>
        <v>ع</v>
      </c>
      <c r="M128" s="7" t="n">
        <f aca="false">IF(B128="","",LEN(TRIM(B128))-LEN(SUBSTITUTE(TRIM(B128)," ",""))+1)</f>
        <v>3</v>
      </c>
      <c r="N128" s="10" t="s">
        <v>35</v>
      </c>
    </row>
    <row r="129" customFormat="false" ht="15" hidden="false" customHeight="false" outlineLevel="0" collapsed="false">
      <c r="A129" s="7" t="n">
        <v>128</v>
      </c>
      <c r="B129" s="8" t="s">
        <v>398</v>
      </c>
      <c r="C129" s="9" t="s">
        <v>399</v>
      </c>
      <c r="D129" s="10" t="s">
        <v>30</v>
      </c>
      <c r="E129" s="10" t="n">
        <v>2003</v>
      </c>
      <c r="F129" s="7" t="str">
        <f aca="false">IF(E129="","",IF(E129&lt;1970,"Abyad w eswed",IF(E129&lt;2000,"70s-90s",IF(E129&lt;2015,"2000s","Gedeed"))))</f>
        <v>2000s</v>
      </c>
      <c r="G129" s="10" t="s">
        <v>45</v>
      </c>
      <c r="H129" s="9" t="s">
        <v>32</v>
      </c>
      <c r="I129" s="11" t="s">
        <v>400</v>
      </c>
      <c r="J129" s="11" t="s">
        <v>401</v>
      </c>
      <c r="K129" s="11"/>
      <c r="L129" s="12" t="str">
        <f aca="false">IF(B129="","",IF(LEFT(TRIM(B129),2)="ال",MID(TRIM(B129),3,1),LEFT(TRIM(B129),1)))</f>
        <v>م</v>
      </c>
      <c r="M129" s="7" t="n">
        <f aca="false">IF(B129="","",LEN(TRIM(B129))-LEN(SUBSTITUTE(TRIM(B129)," ",""))+1)</f>
        <v>2</v>
      </c>
      <c r="N129" s="10" t="s">
        <v>35</v>
      </c>
    </row>
    <row r="130" customFormat="false" ht="15" hidden="false" customHeight="false" outlineLevel="0" collapsed="false">
      <c r="A130" s="7" t="n">
        <v>129</v>
      </c>
      <c r="B130" s="8" t="s">
        <v>402</v>
      </c>
      <c r="C130" s="9" t="s">
        <v>403</v>
      </c>
      <c r="D130" s="10" t="s">
        <v>30</v>
      </c>
      <c r="E130" s="10" t="n">
        <v>2004</v>
      </c>
      <c r="F130" s="7" t="str">
        <f aca="false">IF(E130="","",IF(E130&lt;1970,"Abyad w eswed",IF(E130&lt;2000,"70s-90s",IF(E130&lt;2015,"2000s","Gedeed"))))</f>
        <v>2000s</v>
      </c>
      <c r="G130" s="10" t="s">
        <v>45</v>
      </c>
      <c r="H130" s="9" t="s">
        <v>32</v>
      </c>
      <c r="I130" s="11" t="s">
        <v>373</v>
      </c>
      <c r="J130" s="11"/>
      <c r="K130" s="11"/>
      <c r="L130" s="12" t="str">
        <f aca="false">IF(B130="","",IF(LEFT(TRIM(B130),2)="ال",MID(TRIM(B130),3,1),LEFT(TRIM(B130),1)))</f>
        <v>ب</v>
      </c>
      <c r="M130" s="7" t="n">
        <f aca="false">IF(B130="","",LEN(TRIM(B130))-LEN(SUBSTITUTE(TRIM(B130)," ",""))+1)</f>
        <v>2</v>
      </c>
      <c r="N130" s="10" t="s">
        <v>35</v>
      </c>
    </row>
    <row r="131" customFormat="false" ht="15" hidden="false" customHeight="false" outlineLevel="0" collapsed="false">
      <c r="A131" s="7" t="n">
        <v>130</v>
      </c>
      <c r="B131" s="8" t="s">
        <v>404</v>
      </c>
      <c r="C131" s="9" t="s">
        <v>405</v>
      </c>
      <c r="D131" s="10" t="s">
        <v>30</v>
      </c>
      <c r="E131" s="10" t="n">
        <v>2004</v>
      </c>
      <c r="F131" s="7" t="str">
        <f aca="false">IF(E131="","",IF(E131&lt;1970,"Abyad w eswed",IF(E131&lt;2000,"70s-90s",IF(E131&lt;2015,"2000s","Gedeed"))))</f>
        <v>2000s</v>
      </c>
      <c r="G131" s="10" t="s">
        <v>31</v>
      </c>
      <c r="H131" s="9" t="s">
        <v>53</v>
      </c>
      <c r="I131" s="11" t="s">
        <v>406</v>
      </c>
      <c r="J131" s="11"/>
      <c r="K131" s="11"/>
      <c r="L131" s="12" t="str">
        <f aca="false">IF(B131="","",IF(LEFT(TRIM(B131),2)="ال",MID(TRIM(B131),3,1),LEFT(TRIM(B131),1)))</f>
        <v>ب</v>
      </c>
      <c r="M131" s="7" t="n">
        <f aca="false">IF(B131="","",LEN(TRIM(B131))-LEN(SUBSTITUTE(TRIM(B131)," ",""))+1)</f>
        <v>2</v>
      </c>
      <c r="N131" s="10" t="s">
        <v>35</v>
      </c>
    </row>
    <row r="132" customFormat="false" ht="15" hidden="false" customHeight="false" outlineLevel="0" collapsed="false">
      <c r="A132" s="7" t="n">
        <v>131</v>
      </c>
      <c r="B132" s="8" t="s">
        <v>407</v>
      </c>
      <c r="C132" s="9" t="s">
        <v>408</v>
      </c>
      <c r="D132" s="10" t="s">
        <v>30</v>
      </c>
      <c r="E132" s="10" t="n">
        <v>2004</v>
      </c>
      <c r="F132" s="7" t="str">
        <f aca="false">IF(E132="","",IF(E132&lt;1970,"Abyad w eswed",IF(E132&lt;2000,"70s-90s",IF(E132&lt;2015,"2000s","Gedeed"))))</f>
        <v>2000s</v>
      </c>
      <c r="G132" s="10" t="s">
        <v>57</v>
      </c>
      <c r="H132" s="9" t="s">
        <v>251</v>
      </c>
      <c r="I132" s="11" t="s">
        <v>348</v>
      </c>
      <c r="J132" s="11" t="s">
        <v>407</v>
      </c>
      <c r="K132" s="11"/>
      <c r="L132" s="12" t="str">
        <f aca="false">IF(B132="","",IF(LEFT(TRIM(B132),2)="ال",MID(TRIM(B132),3,1),LEFT(TRIM(B132),1)))</f>
        <v>ت</v>
      </c>
      <c r="M132" s="7" t="n">
        <f aca="false">IF(B132="","",LEN(TRIM(B132))-LEN(SUBSTITUTE(TRIM(B132)," ",""))+1)</f>
        <v>1</v>
      </c>
      <c r="N132" s="10" t="s">
        <v>35</v>
      </c>
    </row>
    <row r="133" customFormat="false" ht="15" hidden="false" customHeight="false" outlineLevel="0" collapsed="false">
      <c r="A133" s="7" t="n">
        <v>132</v>
      </c>
      <c r="B133" s="8" t="s">
        <v>409</v>
      </c>
      <c r="C133" s="9" t="s">
        <v>410</v>
      </c>
      <c r="D133" s="10" t="s">
        <v>30</v>
      </c>
      <c r="E133" s="10" t="n">
        <v>2004</v>
      </c>
      <c r="F133" s="7" t="str">
        <f aca="false">IF(E133="","",IF(E133&lt;1970,"Abyad w eswed",IF(E133&lt;2000,"70s-90s",IF(E133&lt;2015,"2000s","Gedeed"))))</f>
        <v>2000s</v>
      </c>
      <c r="G133" s="10" t="s">
        <v>45</v>
      </c>
      <c r="H133" s="9" t="s">
        <v>32</v>
      </c>
      <c r="I133" s="11" t="s">
        <v>411</v>
      </c>
      <c r="J133" s="11" t="s">
        <v>412</v>
      </c>
      <c r="K133" s="11"/>
      <c r="L133" s="12" t="str">
        <f aca="false">IF(B133="","",IF(LEFT(TRIM(B133),2)="ال",MID(TRIM(B133),3,1),LEFT(TRIM(B133),1)))</f>
        <v>خ</v>
      </c>
      <c r="M133" s="7" t="n">
        <f aca="false">IF(B133="","",LEN(TRIM(B133))-LEN(SUBSTITUTE(TRIM(B133)," ",""))+1)</f>
        <v>2</v>
      </c>
      <c r="N133" s="10" t="s">
        <v>35</v>
      </c>
    </row>
    <row r="134" customFormat="false" ht="15" hidden="false" customHeight="false" outlineLevel="0" collapsed="false">
      <c r="A134" s="7" t="n">
        <v>133</v>
      </c>
      <c r="B134" s="8" t="s">
        <v>413</v>
      </c>
      <c r="C134" s="9" t="s">
        <v>414</v>
      </c>
      <c r="D134" s="10" t="s">
        <v>30</v>
      </c>
      <c r="E134" s="10" t="n">
        <v>2004</v>
      </c>
      <c r="F134" s="7" t="str">
        <f aca="false">IF(E134="","",IF(E134&lt;1970,"Abyad w eswed",IF(E134&lt;2000,"70s-90s",IF(E134&lt;2015,"2000s","Gedeed"))))</f>
        <v>2000s</v>
      </c>
      <c r="G134" s="10" t="s">
        <v>45</v>
      </c>
      <c r="H134" s="9" t="s">
        <v>32</v>
      </c>
      <c r="I134" s="11" t="s">
        <v>194</v>
      </c>
      <c r="J134" s="11"/>
      <c r="K134" s="11"/>
      <c r="L134" s="12" t="str">
        <f aca="false">IF(B134="","",IF(LEFT(TRIM(B134),2)="ال",MID(TRIM(B134),3,1),LEFT(TRIM(B134),1)))</f>
        <v>ع</v>
      </c>
      <c r="M134" s="7" t="n">
        <f aca="false">IF(B134="","",LEN(TRIM(B134))-LEN(SUBSTITUTE(TRIM(B134)," ",""))+1)</f>
        <v>4</v>
      </c>
      <c r="N134" s="10" t="s">
        <v>35</v>
      </c>
    </row>
    <row r="135" customFormat="false" ht="15" hidden="false" customHeight="false" outlineLevel="0" collapsed="false">
      <c r="A135" s="7" t="n">
        <v>134</v>
      </c>
      <c r="B135" s="8" t="s">
        <v>415</v>
      </c>
      <c r="C135" s="9" t="s">
        <v>416</v>
      </c>
      <c r="D135" s="10" t="s">
        <v>30</v>
      </c>
      <c r="E135" s="10" t="n">
        <v>2004</v>
      </c>
      <c r="F135" s="7" t="str">
        <f aca="false">IF(E135="","",IF(E135&lt;1970,"Abyad w eswed",IF(E135&lt;2000,"70s-90s",IF(E135&lt;2015,"2000s","Gedeed"))))</f>
        <v>2000s</v>
      </c>
      <c r="G135" s="10" t="s">
        <v>57</v>
      </c>
      <c r="H135" s="9" t="s">
        <v>32</v>
      </c>
      <c r="I135" s="11" t="s">
        <v>370</v>
      </c>
      <c r="J135" s="11" t="s">
        <v>415</v>
      </c>
      <c r="K135" s="11"/>
      <c r="L135" s="12" t="str">
        <f aca="false">IF(B135="","",IF(LEFT(TRIM(B135),2)="ال",MID(TRIM(B135),3,1),LEFT(TRIM(B135),1)))</f>
        <v>ع</v>
      </c>
      <c r="M135" s="7" t="n">
        <f aca="false">IF(B135="","",LEN(TRIM(B135))-LEN(SUBSTITUTE(TRIM(B135)," ",""))+1)</f>
        <v>1</v>
      </c>
      <c r="N135" s="10" t="s">
        <v>35</v>
      </c>
    </row>
    <row r="136" customFormat="false" ht="15" hidden="false" customHeight="false" outlineLevel="0" collapsed="false">
      <c r="A136" s="7" t="n">
        <v>135</v>
      </c>
      <c r="B136" s="8" t="s">
        <v>417</v>
      </c>
      <c r="C136" s="9" t="s">
        <v>418</v>
      </c>
      <c r="D136" s="10" t="s">
        <v>30</v>
      </c>
      <c r="E136" s="10" t="n">
        <v>2004</v>
      </c>
      <c r="F136" s="7" t="str">
        <f aca="false">IF(E136="","",IF(E136&lt;1970,"Abyad w eswed",IF(E136&lt;2000,"70s-90s",IF(E136&lt;2015,"2000s","Gedeed"))))</f>
        <v>2000s</v>
      </c>
      <c r="G136" s="10" t="s">
        <v>57</v>
      </c>
      <c r="H136" s="9" t="s">
        <v>32</v>
      </c>
      <c r="I136" s="11" t="s">
        <v>365</v>
      </c>
      <c r="J136" s="11"/>
      <c r="K136" s="11"/>
      <c r="L136" s="12" t="str">
        <f aca="false">IF(B136="","",IF(LEFT(TRIM(B136),2)="ال",MID(TRIM(B136),3,1),LEFT(TRIM(B136),1)))</f>
        <v>غ</v>
      </c>
      <c r="M136" s="7" t="n">
        <f aca="false">IF(B136="","",LEN(TRIM(B136))-LEN(SUBSTITUTE(TRIM(B136)," ",""))+1)</f>
        <v>3</v>
      </c>
      <c r="N136" s="10" t="s">
        <v>35</v>
      </c>
    </row>
    <row r="137" customFormat="false" ht="15" hidden="false" customHeight="false" outlineLevel="0" collapsed="false">
      <c r="A137" s="7" t="n">
        <v>136</v>
      </c>
      <c r="B137" s="8" t="s">
        <v>419</v>
      </c>
      <c r="C137" s="9" t="s">
        <v>420</v>
      </c>
      <c r="D137" s="10" t="s">
        <v>30</v>
      </c>
      <c r="E137" s="10" t="n">
        <v>2004</v>
      </c>
      <c r="F137" s="7" t="str">
        <f aca="false">IF(E137="","",IF(E137&lt;1970,"Abyad w eswed",IF(E137&lt;2000,"70s-90s",IF(E137&lt;2015,"2000s","Gedeed"))))</f>
        <v>2000s</v>
      </c>
      <c r="G137" s="10" t="s">
        <v>45</v>
      </c>
      <c r="H137" s="9" t="s">
        <v>32</v>
      </c>
      <c r="I137" s="11" t="s">
        <v>325</v>
      </c>
      <c r="J137" s="11" t="s">
        <v>421</v>
      </c>
      <c r="K137" s="11"/>
      <c r="L137" s="12" t="str">
        <f aca="false">IF(B137="","",IF(LEFT(TRIM(B137),2)="ال",MID(TRIM(B137),3,1),LEFT(TRIM(B137),1)))</f>
        <v>ف</v>
      </c>
      <c r="M137" s="7" t="n">
        <f aca="false">IF(B137="","",LEN(TRIM(B137))-LEN(SUBSTITUTE(TRIM(B137)," ",""))+1)</f>
        <v>3</v>
      </c>
      <c r="N137" s="10" t="s">
        <v>35</v>
      </c>
    </row>
    <row r="138" customFormat="false" ht="15" hidden="false" customHeight="false" outlineLevel="0" collapsed="false">
      <c r="A138" s="7" t="n">
        <v>137</v>
      </c>
      <c r="B138" s="8" t="s">
        <v>422</v>
      </c>
      <c r="C138" s="9" t="s">
        <v>423</v>
      </c>
      <c r="D138" s="10" t="s">
        <v>30</v>
      </c>
      <c r="E138" s="10" t="n">
        <v>2005</v>
      </c>
      <c r="F138" s="7" t="str">
        <f aca="false">IF(E138="","",IF(E138&lt;1970,"Abyad w eswed",IF(E138&lt;2000,"70s-90s",IF(E138&lt;2015,"2000s","Gedeed"))))</f>
        <v>2000s</v>
      </c>
      <c r="G138" s="10" t="s">
        <v>45</v>
      </c>
      <c r="H138" s="9" t="s">
        <v>251</v>
      </c>
      <c r="I138" s="11" t="s">
        <v>373</v>
      </c>
      <c r="J138" s="11"/>
      <c r="K138" s="11"/>
      <c r="L138" s="12" t="str">
        <f aca="false">IF(B138="","",IF(LEFT(TRIM(B138),2)="ال",MID(TRIM(B138),3,1),LEFT(TRIM(B138),1)))</f>
        <v>أ</v>
      </c>
      <c r="M138" s="7" t="n">
        <f aca="false">IF(B138="","",LEN(TRIM(B138))-LEN(SUBSTITUTE(TRIM(B138)," ",""))+1)</f>
        <v>2</v>
      </c>
      <c r="N138" s="10" t="s">
        <v>35</v>
      </c>
    </row>
    <row r="139" customFormat="false" ht="15" hidden="false" customHeight="false" outlineLevel="0" collapsed="false">
      <c r="A139" s="7" t="n">
        <v>138</v>
      </c>
      <c r="B139" s="8" t="s">
        <v>424</v>
      </c>
      <c r="C139" s="9" t="s">
        <v>425</v>
      </c>
      <c r="D139" s="10" t="s">
        <v>30</v>
      </c>
      <c r="E139" s="10" t="n">
        <v>2005</v>
      </c>
      <c r="F139" s="7" t="str">
        <f aca="false">IF(E139="","",IF(E139&lt;1970,"Abyad w eswed",IF(E139&lt;2000,"70s-90s",IF(E139&lt;2015,"2000s","Gedeed"))))</f>
        <v>2000s</v>
      </c>
      <c r="G139" s="10" t="s">
        <v>45</v>
      </c>
      <c r="H139" s="9" t="s">
        <v>32</v>
      </c>
      <c r="I139" s="11" t="s">
        <v>426</v>
      </c>
      <c r="J139" s="11"/>
      <c r="K139" s="11"/>
      <c r="L139" s="12" t="str">
        <f aca="false">IF(B139="","",IF(LEFT(TRIM(B139),2)="ال",MID(TRIM(B139),3,1),LEFT(TRIM(B139),1)))</f>
        <v>ح</v>
      </c>
      <c r="M139" s="7" t="n">
        <f aca="false">IF(B139="","",LEN(TRIM(B139))-LEN(SUBSTITUTE(TRIM(B139)," ",""))+1)</f>
        <v>2</v>
      </c>
      <c r="N139" s="10" t="s">
        <v>35</v>
      </c>
    </row>
    <row r="140" customFormat="false" ht="15" hidden="false" customHeight="false" outlineLevel="0" collapsed="false">
      <c r="A140" s="7" t="n">
        <v>139</v>
      </c>
      <c r="B140" s="8" t="s">
        <v>427</v>
      </c>
      <c r="C140" s="9" t="s">
        <v>428</v>
      </c>
      <c r="D140" s="10" t="s">
        <v>30</v>
      </c>
      <c r="E140" s="10" t="n">
        <v>2005</v>
      </c>
      <c r="F140" s="7" t="str">
        <f aca="false">IF(E140="","",IF(E140&lt;1970,"Abyad w eswed",IF(E140&lt;2000,"70s-90s",IF(E140&lt;2015,"2000s","Gedeed"))))</f>
        <v>2000s</v>
      </c>
      <c r="G140" s="10" t="s">
        <v>57</v>
      </c>
      <c r="H140" s="9" t="s">
        <v>32</v>
      </c>
      <c r="I140" s="11" t="s">
        <v>194</v>
      </c>
      <c r="J140" s="11" t="s">
        <v>429</v>
      </c>
      <c r="K140" s="11"/>
      <c r="L140" s="12" t="str">
        <f aca="false">IF(B140="","",IF(LEFT(TRIM(B140),2)="ال",MID(TRIM(B140),3,1),LEFT(TRIM(B140),1)))</f>
        <v>س</v>
      </c>
      <c r="M140" s="7" t="n">
        <f aca="false">IF(B140="","",LEN(TRIM(B140))-LEN(SUBSTITUTE(TRIM(B140)," ",""))+1)</f>
        <v>3</v>
      </c>
      <c r="N140" s="10" t="s">
        <v>35</v>
      </c>
    </row>
    <row r="141" customFormat="false" ht="15" hidden="false" customHeight="false" outlineLevel="0" collapsed="false">
      <c r="A141" s="7" t="n">
        <v>140</v>
      </c>
      <c r="B141" s="8" t="s">
        <v>430</v>
      </c>
      <c r="C141" s="9" t="s">
        <v>431</v>
      </c>
      <c r="D141" s="10" t="s">
        <v>30</v>
      </c>
      <c r="E141" s="10" t="n">
        <v>2005</v>
      </c>
      <c r="F141" s="7" t="str">
        <f aca="false">IF(E141="","",IF(E141&lt;1970,"Abyad w eswed",IF(E141&lt;2000,"70s-90s",IF(E141&lt;2015,"2000s","Gedeed"))))</f>
        <v>2000s</v>
      </c>
      <c r="G141" s="10" t="s">
        <v>57</v>
      </c>
      <c r="H141" s="9" t="s">
        <v>32</v>
      </c>
      <c r="I141" s="11" t="s">
        <v>370</v>
      </c>
      <c r="J141" s="11" t="s">
        <v>430</v>
      </c>
      <c r="K141" s="11"/>
      <c r="L141" s="12" t="str">
        <f aca="false">IF(B141="","",IF(LEFT(TRIM(B141),2)="ال",MID(TRIM(B141),3,1),LEFT(TRIM(B141),1)))</f>
        <v>ب</v>
      </c>
      <c r="M141" s="7" t="n">
        <f aca="false">IF(B141="","",LEN(TRIM(B141))-LEN(SUBSTITUTE(TRIM(B141)," ",""))+1)</f>
        <v>1</v>
      </c>
      <c r="N141" s="10" t="s">
        <v>35</v>
      </c>
    </row>
    <row r="142" customFormat="false" ht="15" hidden="false" customHeight="false" outlineLevel="0" collapsed="false">
      <c r="A142" s="7" t="n">
        <v>141</v>
      </c>
      <c r="B142" s="8" t="s">
        <v>432</v>
      </c>
      <c r="C142" s="9" t="s">
        <v>433</v>
      </c>
      <c r="D142" s="10" t="s">
        <v>30</v>
      </c>
      <c r="E142" s="10" t="n">
        <v>2005</v>
      </c>
      <c r="F142" s="7" t="str">
        <f aca="false">IF(E142="","",IF(E142&lt;1970,"Abyad w eswed",IF(E142&lt;2000,"70s-90s",IF(E142&lt;2015,"2000s","Gedeed"))))</f>
        <v>2000s</v>
      </c>
      <c r="G142" s="10" t="s">
        <v>45</v>
      </c>
      <c r="H142" s="9" t="s">
        <v>251</v>
      </c>
      <c r="I142" s="11" t="s">
        <v>348</v>
      </c>
      <c r="J142" s="11"/>
      <c r="K142" s="11"/>
      <c r="L142" s="12" t="str">
        <f aca="false">IF(B142="","",IF(LEFT(TRIM(B142),2)="ال",MID(TRIM(B142),3,1),LEFT(TRIM(B142),1)))</f>
        <v>ح</v>
      </c>
      <c r="M142" s="7" t="n">
        <f aca="false">IF(B142="","",LEN(TRIM(B142))-LEN(SUBSTITUTE(TRIM(B142)," ",""))+1)</f>
        <v>2</v>
      </c>
      <c r="N142" s="10" t="s">
        <v>35</v>
      </c>
    </row>
    <row r="143" customFormat="false" ht="15" hidden="false" customHeight="false" outlineLevel="0" collapsed="false">
      <c r="A143" s="7" t="n">
        <v>142</v>
      </c>
      <c r="B143" s="8" t="s">
        <v>434</v>
      </c>
      <c r="C143" s="9" t="s">
        <v>435</v>
      </c>
      <c r="D143" s="10" t="s">
        <v>30</v>
      </c>
      <c r="E143" s="10" t="n">
        <v>2005</v>
      </c>
      <c r="F143" s="7" t="str">
        <f aca="false">IF(E143="","",IF(E143&lt;1970,"Abyad w eswed",IF(E143&lt;2000,"70s-90s",IF(E143&lt;2015,"2000s","Gedeed"))))</f>
        <v>2000s</v>
      </c>
      <c r="G143" s="10" t="s">
        <v>45</v>
      </c>
      <c r="H143" s="9" t="s">
        <v>32</v>
      </c>
      <c r="I143" s="11" t="s">
        <v>400</v>
      </c>
      <c r="J143" s="11" t="s">
        <v>436</v>
      </c>
      <c r="K143" s="11"/>
      <c r="L143" s="12" t="str">
        <f aca="false">IF(B143="","",IF(LEFT(TRIM(B143),2)="ال",MID(TRIM(B143),3,1),LEFT(TRIM(B143),1)))</f>
        <v>ز</v>
      </c>
      <c r="M143" s="7" t="n">
        <f aca="false">IF(B143="","",LEN(TRIM(B143))-LEN(SUBSTITUTE(TRIM(B143)," ",""))+1)</f>
        <v>2</v>
      </c>
      <c r="N143" s="10" t="s">
        <v>35</v>
      </c>
    </row>
    <row r="144" customFormat="false" ht="15" hidden="false" customHeight="false" outlineLevel="0" collapsed="false">
      <c r="A144" s="7" t="n">
        <v>143</v>
      </c>
      <c r="B144" s="8" t="s">
        <v>437</v>
      </c>
      <c r="C144" s="9" t="s">
        <v>438</v>
      </c>
      <c r="D144" s="10" t="s">
        <v>30</v>
      </c>
      <c r="E144" s="10" t="n">
        <v>2005</v>
      </c>
      <c r="F144" s="7" t="str">
        <f aca="false">IF(E144="","",IF(E144&lt;1970,"Abyad w eswed",IF(E144&lt;2000,"70s-90s",IF(E144&lt;2015,"2000s","Gedeed"))))</f>
        <v>2000s</v>
      </c>
      <c r="G144" s="10" t="s">
        <v>45</v>
      </c>
      <c r="H144" s="9" t="s">
        <v>32</v>
      </c>
      <c r="I144" s="11" t="s">
        <v>439</v>
      </c>
      <c r="J144" s="11" t="s">
        <v>440</v>
      </c>
      <c r="K144" s="11"/>
      <c r="L144" s="12" t="str">
        <f aca="false">IF(B144="","",IF(LEFT(TRIM(B144),2)="ال",MID(TRIM(B144),3,1),LEFT(TRIM(B144),1)))</f>
        <v>س</v>
      </c>
      <c r="M144" s="7" t="n">
        <f aca="false">IF(B144="","",LEN(TRIM(B144))-LEN(SUBSTITUTE(TRIM(B144)," ",""))+1)</f>
        <v>2</v>
      </c>
      <c r="N144" s="10" t="s">
        <v>35</v>
      </c>
    </row>
    <row r="145" customFormat="false" ht="15" hidden="false" customHeight="false" outlineLevel="0" collapsed="false">
      <c r="A145" s="7" t="n">
        <v>144</v>
      </c>
      <c r="B145" s="8" t="s">
        <v>441</v>
      </c>
      <c r="C145" s="9" t="s">
        <v>442</v>
      </c>
      <c r="D145" s="10" t="s">
        <v>30</v>
      </c>
      <c r="E145" s="10" t="n">
        <v>2005</v>
      </c>
      <c r="F145" s="7" t="str">
        <f aca="false">IF(E145="","",IF(E145&lt;1970,"Abyad w eswed",IF(E145&lt;2000,"70s-90s",IF(E145&lt;2015,"2000s","Gedeed"))))</f>
        <v>2000s</v>
      </c>
      <c r="G145" s="10" t="s">
        <v>45</v>
      </c>
      <c r="H145" s="9" t="s">
        <v>32</v>
      </c>
      <c r="I145" s="11" t="s">
        <v>443</v>
      </c>
      <c r="J145" s="11"/>
      <c r="K145" s="11"/>
      <c r="L145" s="12" t="str">
        <f aca="false">IF(B145="","",IF(LEFT(TRIM(B145),2)="ال",MID(TRIM(B145),3,1),LEFT(TRIM(B145),1)))</f>
        <v>ل</v>
      </c>
      <c r="M145" s="7" t="n">
        <f aca="false">IF(B145="","",LEN(TRIM(B145))-LEN(SUBSTITUTE(TRIM(B145)," ",""))+1)</f>
        <v>3</v>
      </c>
      <c r="N145" s="10" t="s">
        <v>35</v>
      </c>
    </row>
    <row r="146" customFormat="false" ht="15" hidden="false" customHeight="false" outlineLevel="0" collapsed="false">
      <c r="A146" s="7" t="n">
        <v>145</v>
      </c>
      <c r="B146" s="8" t="s">
        <v>444</v>
      </c>
      <c r="C146" s="9" t="s">
        <v>445</v>
      </c>
      <c r="D146" s="10" t="s">
        <v>30</v>
      </c>
      <c r="E146" s="10" t="n">
        <v>2006</v>
      </c>
      <c r="F146" s="7" t="str">
        <f aca="false">IF(E146="","",IF(E146&lt;1970,"Abyad w eswed",IF(E146&lt;2000,"70s-90s",IF(E146&lt;2015,"2000s","Gedeed"))))</f>
        <v>2000s</v>
      </c>
      <c r="G146" s="10" t="s">
        <v>45</v>
      </c>
      <c r="H146" s="9" t="s">
        <v>32</v>
      </c>
      <c r="I146" s="11" t="s">
        <v>400</v>
      </c>
      <c r="J146" s="11"/>
      <c r="K146" s="11"/>
      <c r="L146" s="12" t="str">
        <f aca="false">IF(B146="","",IF(LEFT(TRIM(B146),2)="ال",MID(TRIM(B146),3,1),LEFT(TRIM(B146),1)))</f>
        <v>ج</v>
      </c>
      <c r="M146" s="7" t="n">
        <f aca="false">IF(B146="","",LEN(TRIM(B146))-LEN(SUBSTITUTE(TRIM(B146)," ",""))+1)</f>
        <v>2</v>
      </c>
      <c r="N146" s="10" t="s">
        <v>35</v>
      </c>
    </row>
    <row r="147" customFormat="false" ht="15" hidden="false" customHeight="false" outlineLevel="0" collapsed="false">
      <c r="A147" s="7" t="n">
        <v>146</v>
      </c>
      <c r="B147" s="8" t="s">
        <v>446</v>
      </c>
      <c r="C147" s="9" t="s">
        <v>447</v>
      </c>
      <c r="D147" s="10" t="s">
        <v>30</v>
      </c>
      <c r="E147" s="10" t="n">
        <v>2006</v>
      </c>
      <c r="F147" s="7" t="str">
        <f aca="false">IF(E147="","",IF(E147&lt;1970,"Abyad w eswed",IF(E147&lt;2000,"70s-90s",IF(E147&lt;2015,"2000s","Gedeed"))))</f>
        <v>2000s</v>
      </c>
      <c r="G147" s="10" t="s">
        <v>45</v>
      </c>
      <c r="H147" s="9" t="s">
        <v>114</v>
      </c>
      <c r="I147" s="11" t="s">
        <v>238</v>
      </c>
      <c r="J147" s="11" t="s">
        <v>69</v>
      </c>
      <c r="K147" s="11"/>
      <c r="L147" s="12" t="str">
        <f aca="false">IF(B147="","",IF(LEFT(TRIM(B147),2)="ال",MID(TRIM(B147),3,1),LEFT(TRIM(B147),1)))</f>
        <v>ح</v>
      </c>
      <c r="M147" s="7" t="n">
        <f aca="false">IF(B147="","",LEN(TRIM(B147))-LEN(SUBSTITUTE(TRIM(B147)," ",""))+1)</f>
        <v>1</v>
      </c>
      <c r="N147" s="10" t="s">
        <v>35</v>
      </c>
    </row>
    <row r="148" customFormat="false" ht="15" hidden="false" customHeight="false" outlineLevel="0" collapsed="false">
      <c r="A148" s="7" t="n">
        <v>147</v>
      </c>
      <c r="B148" s="8" t="s">
        <v>448</v>
      </c>
      <c r="C148" s="9" t="s">
        <v>449</v>
      </c>
      <c r="D148" s="10" t="s">
        <v>30</v>
      </c>
      <c r="E148" s="10" t="n">
        <v>2006</v>
      </c>
      <c r="F148" s="7" t="str">
        <f aca="false">IF(E148="","",IF(E148&lt;1970,"Abyad w eswed",IF(E148&lt;2000,"70s-90s",IF(E148&lt;2015,"2000s","Gedeed"))))</f>
        <v>2000s</v>
      </c>
      <c r="G148" s="10" t="s">
        <v>45</v>
      </c>
      <c r="H148" s="9" t="s">
        <v>32</v>
      </c>
      <c r="I148" s="11" t="s">
        <v>365</v>
      </c>
      <c r="J148" s="11" t="s">
        <v>448</v>
      </c>
      <c r="K148" s="11"/>
      <c r="L148" s="12" t="str">
        <f aca="false">IF(B148="","",IF(LEFT(TRIM(B148),2)="ال",MID(TRIM(B148),3,1),LEFT(TRIM(B148),1)))</f>
        <v>ظ</v>
      </c>
      <c r="M148" s="7" t="n">
        <f aca="false">IF(B148="","",LEN(TRIM(B148))-LEN(SUBSTITUTE(TRIM(B148)," ",""))+1)</f>
        <v>1</v>
      </c>
      <c r="N148" s="10" t="s">
        <v>35</v>
      </c>
    </row>
    <row r="149" customFormat="false" ht="15" hidden="false" customHeight="false" outlineLevel="0" collapsed="false">
      <c r="A149" s="7" t="n">
        <v>148</v>
      </c>
      <c r="B149" s="8" t="s">
        <v>450</v>
      </c>
      <c r="C149" s="9" t="s">
        <v>451</v>
      </c>
      <c r="D149" s="10" t="s">
        <v>30</v>
      </c>
      <c r="E149" s="10" t="n">
        <v>2006</v>
      </c>
      <c r="F149" s="7" t="str">
        <f aca="false">IF(E149="","",IF(E149&lt;1970,"Abyad w eswed",IF(E149&lt;2000,"70s-90s",IF(E149&lt;2015,"2000s","Gedeed"))))</f>
        <v>2000s</v>
      </c>
      <c r="G149" s="10" t="s">
        <v>45</v>
      </c>
      <c r="H149" s="9" t="s">
        <v>32</v>
      </c>
      <c r="I149" s="11" t="s">
        <v>400</v>
      </c>
      <c r="J149" s="11" t="s">
        <v>452</v>
      </c>
      <c r="K149" s="11"/>
      <c r="L149" s="12" t="str">
        <f aca="false">IF(B149="","",IF(LEFT(TRIM(B149),2)="ال",MID(TRIM(B149),3,1),LEFT(TRIM(B149),1)))</f>
        <v>ظ</v>
      </c>
      <c r="M149" s="7" t="n">
        <f aca="false">IF(B149="","",LEN(TRIM(B149))-LEN(SUBSTITUTE(TRIM(B149)," ",""))+1)</f>
        <v>2</v>
      </c>
      <c r="N149" s="10" t="s">
        <v>35</v>
      </c>
    </row>
    <row r="150" customFormat="false" ht="15" hidden="false" customHeight="false" outlineLevel="0" collapsed="false">
      <c r="A150" s="7" t="n">
        <v>149</v>
      </c>
      <c r="B150" s="8" t="s">
        <v>453</v>
      </c>
      <c r="C150" s="9" t="s">
        <v>454</v>
      </c>
      <c r="D150" s="10" t="s">
        <v>30</v>
      </c>
      <c r="E150" s="10" t="n">
        <v>2006</v>
      </c>
      <c r="F150" s="7" t="str">
        <f aca="false">IF(E150="","",IF(E150&lt;1970,"Abyad w eswed",IF(E150&lt;2000,"70s-90s",IF(E150&lt;2015,"2000s","Gedeed"))))</f>
        <v>2000s</v>
      </c>
      <c r="G150" s="10" t="s">
        <v>45</v>
      </c>
      <c r="H150" s="9" t="s">
        <v>53</v>
      </c>
      <c r="I150" s="11" t="s">
        <v>194</v>
      </c>
      <c r="J150" s="11" t="s">
        <v>455</v>
      </c>
      <c r="K150" s="11"/>
      <c r="L150" s="12" t="str">
        <f aca="false">IF(B150="","",IF(LEFT(TRIM(B150),2)="ال",MID(TRIM(B150),3,1),LEFT(TRIM(B150),1)))</f>
        <v>ع</v>
      </c>
      <c r="M150" s="7" t="n">
        <f aca="false">IF(B150="","",LEN(TRIM(B150))-LEN(SUBSTITUTE(TRIM(B150)," ",""))+1)</f>
        <v>2</v>
      </c>
      <c r="N150" s="10" t="s">
        <v>35</v>
      </c>
    </row>
    <row r="151" customFormat="false" ht="15" hidden="false" customHeight="false" outlineLevel="0" collapsed="false">
      <c r="A151" s="7" t="n">
        <v>150</v>
      </c>
      <c r="B151" s="8" t="s">
        <v>456</v>
      </c>
      <c r="C151" s="9" t="s">
        <v>457</v>
      </c>
      <c r="D151" s="10" t="s">
        <v>30</v>
      </c>
      <c r="E151" s="10" t="n">
        <v>2006</v>
      </c>
      <c r="F151" s="7" t="str">
        <f aca="false">IF(E151="","",IF(E151&lt;1970,"Abyad w eswed",IF(E151&lt;2000,"70s-90s",IF(E151&lt;2015,"2000s","Gedeed"))))</f>
        <v>2000s</v>
      </c>
      <c r="G151" s="10" t="s">
        <v>45</v>
      </c>
      <c r="H151" s="9" t="s">
        <v>32</v>
      </c>
      <c r="I151" s="11" t="s">
        <v>370</v>
      </c>
      <c r="J151" s="11" t="s">
        <v>456</v>
      </c>
      <c r="K151" s="11"/>
      <c r="L151" s="12" t="str">
        <f aca="false">IF(B151="","",IF(LEFT(TRIM(B151),2)="ال",MID(TRIM(B151),3,1),LEFT(TRIM(B151),1)))</f>
        <v>ك</v>
      </c>
      <c r="M151" s="7" t="n">
        <f aca="false">IF(B151="","",LEN(TRIM(B151))-LEN(SUBSTITUTE(TRIM(B151)," ",""))+1)</f>
        <v>1</v>
      </c>
      <c r="N151" s="10" t="s">
        <v>35</v>
      </c>
    </row>
    <row r="152" customFormat="false" ht="15" hidden="false" customHeight="false" outlineLevel="0" collapsed="false">
      <c r="A152" s="7" t="n">
        <v>151</v>
      </c>
      <c r="B152" s="8" t="s">
        <v>458</v>
      </c>
      <c r="C152" s="9" t="s">
        <v>459</v>
      </c>
      <c r="D152" s="10" t="s">
        <v>30</v>
      </c>
      <c r="E152" s="10" t="n">
        <v>2006</v>
      </c>
      <c r="F152" s="7" t="str">
        <f aca="false">IF(E152="","",IF(E152&lt;1970,"Abyad w eswed",IF(E152&lt;2000,"70s-90s",IF(E152&lt;2015,"2000s","Gedeed"))))</f>
        <v>2000s</v>
      </c>
      <c r="G152" s="10" t="s">
        <v>45</v>
      </c>
      <c r="H152" s="9" t="s">
        <v>32</v>
      </c>
      <c r="I152" s="11" t="s">
        <v>400</v>
      </c>
      <c r="J152" s="11"/>
      <c r="K152" s="11"/>
      <c r="L152" s="12" t="str">
        <f aca="false">IF(B152="","",IF(LEFT(TRIM(B152),2)="ال",MID(TRIM(B152),3,1),LEFT(TRIM(B152),1)))</f>
        <v>م</v>
      </c>
      <c r="M152" s="7" t="n">
        <f aca="false">IF(B152="","",LEN(TRIM(B152))-LEN(SUBSTITUTE(TRIM(B152)," ",""))+1)</f>
        <v>2</v>
      </c>
      <c r="N152" s="10" t="s">
        <v>35</v>
      </c>
    </row>
    <row r="153" customFormat="false" ht="15" hidden="false" customHeight="false" outlineLevel="0" collapsed="false">
      <c r="A153" s="7" t="n">
        <v>152</v>
      </c>
      <c r="B153" s="8" t="s">
        <v>460</v>
      </c>
      <c r="C153" s="9" t="s">
        <v>461</v>
      </c>
      <c r="D153" s="10" t="s">
        <v>30</v>
      </c>
      <c r="E153" s="10" t="n">
        <v>2006</v>
      </c>
      <c r="F153" s="7" t="str">
        <f aca="false">IF(E153="","",IF(E153&lt;1970,"Abyad w eswed",IF(E153&lt;2000,"70s-90s",IF(E153&lt;2015,"2000s","Gedeed"))))</f>
        <v>2000s</v>
      </c>
      <c r="G153" s="10" t="s">
        <v>45</v>
      </c>
      <c r="H153" s="9" t="s">
        <v>53</v>
      </c>
      <c r="I153" s="11" t="s">
        <v>373</v>
      </c>
      <c r="J153" s="11"/>
      <c r="K153" s="11"/>
      <c r="L153" s="12" t="str">
        <f aca="false">IF(B153="","",IF(LEFT(TRIM(B153),2)="ال",MID(TRIM(B153),3,1),LEFT(TRIM(B153),1)))</f>
        <v>و</v>
      </c>
      <c r="M153" s="7" t="n">
        <f aca="false">IF(B153="","",LEN(TRIM(B153))-LEN(SUBSTITUTE(TRIM(B153)," ",""))+1)</f>
        <v>3</v>
      </c>
      <c r="N153" s="10" t="s">
        <v>35</v>
      </c>
    </row>
    <row r="154" customFormat="false" ht="15" hidden="false" customHeight="false" outlineLevel="0" collapsed="false">
      <c r="A154" s="7" t="n">
        <v>153</v>
      </c>
      <c r="B154" s="8" t="s">
        <v>462</v>
      </c>
      <c r="C154" s="9" t="s">
        <v>463</v>
      </c>
      <c r="D154" s="10" t="s">
        <v>30</v>
      </c>
      <c r="E154" s="10" t="n">
        <v>2006</v>
      </c>
      <c r="F154" s="7" t="str">
        <f aca="false">IF(E154="","",IF(E154&lt;1970,"Abyad w eswed",IF(E154&lt;2000,"70s-90s",IF(E154&lt;2015,"2000s","Gedeed"))))</f>
        <v>2000s</v>
      </c>
      <c r="G154" s="10" t="s">
        <v>45</v>
      </c>
      <c r="H154" s="9" t="s">
        <v>32</v>
      </c>
      <c r="I154" s="11" t="s">
        <v>325</v>
      </c>
      <c r="J154" s="11"/>
      <c r="K154" s="11"/>
      <c r="L154" s="12" t="str">
        <f aca="false">IF(B154="","",IF(LEFT(TRIM(B154),2)="ال",MID(TRIM(B154),3,1),LEFT(TRIM(B154),1)))</f>
        <v>و</v>
      </c>
      <c r="M154" s="7" t="n">
        <f aca="false">IF(B154="","",LEN(TRIM(B154))-LEN(SUBSTITUTE(TRIM(B154)," ",""))+1)</f>
        <v>2</v>
      </c>
      <c r="N154" s="10" t="s">
        <v>35</v>
      </c>
    </row>
    <row r="155" customFormat="false" ht="15" hidden="false" customHeight="false" outlineLevel="0" collapsed="false">
      <c r="A155" s="7" t="n">
        <v>154</v>
      </c>
      <c r="B155" s="8" t="s">
        <v>464</v>
      </c>
      <c r="C155" s="9" t="s">
        <v>465</v>
      </c>
      <c r="D155" s="10" t="s">
        <v>30</v>
      </c>
      <c r="E155" s="10" t="n">
        <v>2007</v>
      </c>
      <c r="F155" s="7" t="str">
        <f aca="false">IF(E155="","",IF(E155&lt;1970,"Abyad w eswed",IF(E155&lt;2000,"70s-90s",IF(E155&lt;2015,"2000s","Gedeed"))))</f>
        <v>2000s</v>
      </c>
      <c r="G155" s="10" t="s">
        <v>45</v>
      </c>
      <c r="H155" s="9" t="s">
        <v>32</v>
      </c>
      <c r="I155" s="11" t="s">
        <v>443</v>
      </c>
      <c r="J155" s="11"/>
      <c r="K155" s="11"/>
      <c r="L155" s="12" t="str">
        <f aca="false">IF(B155="","",IF(LEFT(TRIM(B155),2)="ال",MID(TRIM(B155),3,1),LEFT(TRIM(B155),1)))</f>
        <v>أ</v>
      </c>
      <c r="M155" s="7" t="n">
        <f aca="false">IF(B155="","",LEN(TRIM(B155))-LEN(SUBSTITUTE(TRIM(B155)," ",""))+1)</f>
        <v>3</v>
      </c>
      <c r="N155" s="10" t="s">
        <v>35</v>
      </c>
    </row>
    <row r="156" customFormat="false" ht="15" hidden="false" customHeight="false" outlineLevel="0" collapsed="false">
      <c r="A156" s="7" t="n">
        <v>155</v>
      </c>
      <c r="B156" s="8" t="s">
        <v>466</v>
      </c>
      <c r="C156" s="9" t="s">
        <v>467</v>
      </c>
      <c r="D156" s="10" t="s">
        <v>30</v>
      </c>
      <c r="E156" s="10" t="n">
        <v>2007</v>
      </c>
      <c r="F156" s="7" t="str">
        <f aca="false">IF(E156="","",IF(E156&lt;1970,"Abyad w eswed",IF(E156&lt;2000,"70s-90s",IF(E156&lt;2015,"2000s","Gedeed"))))</f>
        <v>2000s</v>
      </c>
      <c r="G156" s="10" t="s">
        <v>57</v>
      </c>
      <c r="H156" s="9" t="s">
        <v>251</v>
      </c>
      <c r="I156" s="11" t="s">
        <v>348</v>
      </c>
      <c r="J156" s="11" t="s">
        <v>468</v>
      </c>
      <c r="K156" s="11" t="s">
        <v>469</v>
      </c>
      <c r="L156" s="12" t="str">
        <f aca="false">IF(B156="","",IF(LEFT(TRIM(B156),2)="ال",MID(TRIM(B156),3,1),LEFT(TRIM(B156),1)))</f>
        <v>ج</v>
      </c>
      <c r="M156" s="7" t="n">
        <f aca="false">IF(B156="","",LEN(TRIM(B156))-LEN(SUBSTITUTE(TRIM(B156)," ",""))+1)</f>
        <v>1</v>
      </c>
      <c r="N156" s="10" t="s">
        <v>35</v>
      </c>
    </row>
    <row r="157" customFormat="false" ht="15" hidden="false" customHeight="false" outlineLevel="0" collapsed="false">
      <c r="A157" s="7" t="n">
        <v>156</v>
      </c>
      <c r="B157" s="8" t="s">
        <v>470</v>
      </c>
      <c r="C157" s="9" t="s">
        <v>471</v>
      </c>
      <c r="D157" s="10" t="s">
        <v>30</v>
      </c>
      <c r="E157" s="10" t="n">
        <v>2007</v>
      </c>
      <c r="F157" s="7" t="str">
        <f aca="false">IF(E157="","",IF(E157&lt;1970,"Abyad w eswed",IF(E157&lt;2000,"70s-90s",IF(E157&lt;2015,"2000s","Gedeed"))))</f>
        <v>2000s</v>
      </c>
      <c r="G157" s="10" t="s">
        <v>57</v>
      </c>
      <c r="H157" s="9" t="s">
        <v>68</v>
      </c>
      <c r="I157" s="11" t="s">
        <v>348</v>
      </c>
      <c r="J157" s="11" t="s">
        <v>472</v>
      </c>
      <c r="K157" s="11"/>
      <c r="L157" s="12" t="str">
        <f aca="false">IF(B157="","",IF(LEFT(TRIM(B157),2)="ال",MID(TRIM(B157),3,1),LEFT(TRIM(B157),1)))</f>
        <v>ت</v>
      </c>
      <c r="M157" s="7" t="n">
        <f aca="false">IF(B157="","",LEN(TRIM(B157))-LEN(SUBSTITUTE(TRIM(B157)," ",""))+1)</f>
        <v>2</v>
      </c>
      <c r="N157" s="10" t="s">
        <v>35</v>
      </c>
    </row>
    <row r="158" customFormat="false" ht="15" hidden="false" customHeight="false" outlineLevel="0" collapsed="false">
      <c r="A158" s="7" t="n">
        <v>157</v>
      </c>
      <c r="B158" s="8" t="s">
        <v>473</v>
      </c>
      <c r="C158" s="9" t="s">
        <v>474</v>
      </c>
      <c r="D158" s="10" t="s">
        <v>30</v>
      </c>
      <c r="E158" s="10" t="n">
        <v>2007</v>
      </c>
      <c r="F158" s="7" t="str">
        <f aca="false">IF(E158="","",IF(E158&lt;1970,"Abyad w eswed",IF(E158&lt;2000,"70s-90s",IF(E158&lt;2015,"2000s","Gedeed"))))</f>
        <v>2000s</v>
      </c>
      <c r="G158" s="10" t="s">
        <v>31</v>
      </c>
      <c r="H158" s="9" t="s">
        <v>53</v>
      </c>
      <c r="I158" s="11" t="s">
        <v>475</v>
      </c>
      <c r="J158" s="11"/>
      <c r="K158" s="11"/>
      <c r="L158" s="12" t="str">
        <f aca="false">IF(B158="","",IF(LEFT(TRIM(B158),2)="ال",MID(TRIM(B158),3,1),LEFT(TRIM(B158),1)))</f>
        <v>ح</v>
      </c>
      <c r="M158" s="7" t="n">
        <f aca="false">IF(B158="","",LEN(TRIM(B158))-LEN(SUBSTITUTE(TRIM(B158)," ",""))+1)</f>
        <v>2</v>
      </c>
      <c r="N158" s="10" t="s">
        <v>35</v>
      </c>
    </row>
    <row r="159" customFormat="false" ht="15" hidden="false" customHeight="false" outlineLevel="0" collapsed="false">
      <c r="A159" s="7" t="n">
        <v>158</v>
      </c>
      <c r="B159" s="8" t="s">
        <v>476</v>
      </c>
      <c r="C159" s="9" t="s">
        <v>477</v>
      </c>
      <c r="D159" s="10" t="s">
        <v>30</v>
      </c>
      <c r="E159" s="10" t="n">
        <v>2007</v>
      </c>
      <c r="F159" s="7" t="str">
        <f aca="false">IF(E159="","",IF(E159&lt;1970,"Abyad w eswed",IF(E159&lt;2000,"70s-90s",IF(E159&lt;2015,"2000s","Gedeed"))))</f>
        <v>2000s</v>
      </c>
      <c r="G159" s="10" t="s">
        <v>57</v>
      </c>
      <c r="H159" s="9" t="s">
        <v>68</v>
      </c>
      <c r="I159" s="11" t="s">
        <v>439</v>
      </c>
      <c r="J159" s="11" t="s">
        <v>478</v>
      </c>
      <c r="K159" s="11"/>
      <c r="L159" s="12" t="str">
        <f aca="false">IF(B159="","",IF(LEFT(TRIM(B159),2)="ال",MID(TRIM(B159),3,1),LEFT(TRIM(B159),1)))</f>
        <v>ع</v>
      </c>
      <c r="M159" s="7" t="n">
        <f aca="false">IF(B159="","",LEN(TRIM(B159))-LEN(SUBSTITUTE(TRIM(B159)," ",""))+1)</f>
        <v>2</v>
      </c>
      <c r="N159" s="10" t="s">
        <v>35</v>
      </c>
    </row>
    <row r="160" customFormat="false" ht="15" hidden="false" customHeight="false" outlineLevel="0" collapsed="false">
      <c r="A160" s="7" t="n">
        <v>159</v>
      </c>
      <c r="B160" s="8" t="s">
        <v>479</v>
      </c>
      <c r="C160" s="9" t="s">
        <v>480</v>
      </c>
      <c r="D160" s="10" t="s">
        <v>30</v>
      </c>
      <c r="E160" s="10" t="n">
        <v>2007</v>
      </c>
      <c r="F160" s="7" t="str">
        <f aca="false">IF(E160="","",IF(E160&lt;1970,"Abyad w eswed",IF(E160&lt;2000,"70s-90s",IF(E160&lt;2015,"2000s","Gedeed"))))</f>
        <v>2000s</v>
      </c>
      <c r="G160" s="10" t="s">
        <v>57</v>
      </c>
      <c r="H160" s="9" t="s">
        <v>32</v>
      </c>
      <c r="I160" s="11" t="s">
        <v>400</v>
      </c>
      <c r="J160" s="11" t="s">
        <v>481</v>
      </c>
      <c r="K160" s="11"/>
      <c r="L160" s="12" t="str">
        <f aca="false">IF(B160="","",IF(LEFT(TRIM(B160),2)="ال",MID(TRIM(B160),3,1),LEFT(TRIM(B160),1)))</f>
        <v>ك</v>
      </c>
      <c r="M160" s="7" t="n">
        <f aca="false">IF(B160="","",LEN(TRIM(B160))-LEN(SUBSTITUTE(TRIM(B160)," ",""))+1)</f>
        <v>2</v>
      </c>
      <c r="N160" s="10" t="s">
        <v>35</v>
      </c>
    </row>
    <row r="161" customFormat="false" ht="15" hidden="false" customHeight="false" outlineLevel="0" collapsed="false">
      <c r="A161" s="7" t="n">
        <v>160</v>
      </c>
      <c r="B161" s="8" t="s">
        <v>482</v>
      </c>
      <c r="C161" s="9" t="s">
        <v>483</v>
      </c>
      <c r="D161" s="10" t="s">
        <v>30</v>
      </c>
      <c r="E161" s="10" t="n">
        <v>2007</v>
      </c>
      <c r="F161" s="7" t="str">
        <f aca="false">IF(E161="","",IF(E161&lt;1970,"Abyad w eswed",IF(E161&lt;2000,"70s-90s",IF(E161&lt;2015,"2000s","Gedeed"))))</f>
        <v>2000s</v>
      </c>
      <c r="G161" s="10" t="s">
        <v>45</v>
      </c>
      <c r="H161" s="9" t="s">
        <v>32</v>
      </c>
      <c r="I161" s="11" t="s">
        <v>370</v>
      </c>
      <c r="J161" s="11" t="s">
        <v>482</v>
      </c>
      <c r="K161" s="11"/>
      <c r="L161" s="12" t="str">
        <f aca="false">IF(B161="","",IF(LEFT(TRIM(B161),2)="ال",MID(TRIM(B161),3,1),LEFT(TRIM(B161),1)))</f>
        <v>ك</v>
      </c>
      <c r="M161" s="7" t="n">
        <f aca="false">IF(B161="","",LEN(TRIM(B161))-LEN(SUBSTITUTE(TRIM(B161)," ",""))+1)</f>
        <v>1</v>
      </c>
      <c r="N161" s="10" t="s">
        <v>35</v>
      </c>
    </row>
    <row r="162" customFormat="false" ht="15" hidden="false" customHeight="false" outlineLevel="0" collapsed="false">
      <c r="A162" s="7" t="n">
        <v>161</v>
      </c>
      <c r="B162" s="8" t="s">
        <v>484</v>
      </c>
      <c r="C162" s="9" t="s">
        <v>485</v>
      </c>
      <c r="D162" s="10" t="s">
        <v>30</v>
      </c>
      <c r="E162" s="10" t="n">
        <v>2007</v>
      </c>
      <c r="F162" s="7" t="str">
        <f aca="false">IF(E162="","",IF(E162&lt;1970,"Abyad w eswed",IF(E162&lt;2000,"70s-90s",IF(E162&lt;2015,"2000s","Gedeed"))))</f>
        <v>2000s</v>
      </c>
      <c r="G162" s="10" t="s">
        <v>57</v>
      </c>
      <c r="H162" s="9" t="s">
        <v>32</v>
      </c>
      <c r="I162" s="11" t="s">
        <v>194</v>
      </c>
      <c r="J162" s="11" t="s">
        <v>486</v>
      </c>
      <c r="K162" s="11"/>
      <c r="L162" s="12" t="str">
        <f aca="false">IF(B162="","",IF(LEFT(TRIM(B162),2)="ال",MID(TRIM(B162),3,1),LEFT(TRIM(B162),1)))</f>
        <v>م</v>
      </c>
      <c r="M162" s="7" t="n">
        <f aca="false">IF(B162="","",LEN(TRIM(B162))-LEN(SUBSTITUTE(TRIM(B162)," ",""))+1)</f>
        <v>3</v>
      </c>
      <c r="N162" s="10" t="s">
        <v>35</v>
      </c>
    </row>
    <row r="163" customFormat="false" ht="15" hidden="false" customHeight="false" outlineLevel="0" collapsed="false">
      <c r="A163" s="7" t="n">
        <v>162</v>
      </c>
      <c r="B163" s="8" t="s">
        <v>487</v>
      </c>
      <c r="C163" s="9" t="s">
        <v>488</v>
      </c>
      <c r="D163" s="10" t="s">
        <v>30</v>
      </c>
      <c r="E163" s="10" t="n">
        <v>2007</v>
      </c>
      <c r="F163" s="7" t="str">
        <f aca="false">IF(E163="","",IF(E163&lt;1970,"Abyad w eswed",IF(E163&lt;2000,"70s-90s",IF(E163&lt;2015,"2000s","Gedeed"))))</f>
        <v>2000s</v>
      </c>
      <c r="G163" s="10" t="s">
        <v>45</v>
      </c>
      <c r="H163" s="9" t="s">
        <v>53</v>
      </c>
      <c r="I163" s="11" t="s">
        <v>489</v>
      </c>
      <c r="J163" s="11" t="s">
        <v>490</v>
      </c>
      <c r="K163" s="11"/>
      <c r="L163" s="12" t="str">
        <f aca="false">IF(B163="","",IF(LEFT(TRIM(B163),2)="ال",MID(TRIM(B163),3,1),LEFT(TRIM(B163),1)))</f>
        <v>ه</v>
      </c>
      <c r="M163" s="7" t="n">
        <f aca="false">IF(B163="","",LEN(TRIM(B163))-LEN(SUBSTITUTE(TRIM(B163)," ",""))+1)</f>
        <v>2</v>
      </c>
      <c r="N163" s="10" t="s">
        <v>35</v>
      </c>
    </row>
    <row r="164" customFormat="false" ht="15" hidden="false" customHeight="false" outlineLevel="0" collapsed="false">
      <c r="A164" s="7" t="n">
        <v>163</v>
      </c>
      <c r="B164" s="8" t="s">
        <v>491</v>
      </c>
      <c r="C164" s="9" t="s">
        <v>492</v>
      </c>
      <c r="D164" s="10" t="s">
        <v>30</v>
      </c>
      <c r="E164" s="10" t="n">
        <v>2008</v>
      </c>
      <c r="F164" s="7" t="str">
        <f aca="false">IF(E164="","",IF(E164&lt;1970,"Abyad w eswed",IF(E164&lt;2000,"70s-90s",IF(E164&lt;2015,"2000s","Gedeed"))))</f>
        <v>2000s</v>
      </c>
      <c r="G164" s="10" t="s">
        <v>45</v>
      </c>
      <c r="H164" s="9" t="s">
        <v>53</v>
      </c>
      <c r="I164" s="11" t="s">
        <v>400</v>
      </c>
      <c r="J164" s="11" t="s">
        <v>201</v>
      </c>
      <c r="K164" s="11"/>
      <c r="L164" s="12" t="str">
        <f aca="false">IF(B164="","",IF(LEFT(TRIM(B164),2)="ال",MID(TRIM(B164),3,1),LEFT(TRIM(B164),1)))</f>
        <v>آ</v>
      </c>
      <c r="M164" s="7" t="n">
        <f aca="false">IF(B164="","",LEN(TRIM(B164))-LEN(SUBSTITUTE(TRIM(B164)," ",""))+1)</f>
        <v>3</v>
      </c>
      <c r="N164" s="10" t="s">
        <v>35</v>
      </c>
    </row>
    <row r="165" customFormat="false" ht="15" hidden="false" customHeight="false" outlineLevel="0" collapsed="false">
      <c r="A165" s="7" t="n">
        <v>164</v>
      </c>
      <c r="B165" s="8" t="s">
        <v>493</v>
      </c>
      <c r="C165" s="9" t="s">
        <v>494</v>
      </c>
      <c r="D165" s="10" t="s">
        <v>30</v>
      </c>
      <c r="E165" s="10" t="n">
        <v>2008</v>
      </c>
      <c r="F165" s="7" t="str">
        <f aca="false">IF(E165="","",IF(E165&lt;1970,"Abyad w eswed",IF(E165&lt;2000,"70s-90s",IF(E165&lt;2015,"2000s","Gedeed"))))</f>
        <v>2000s</v>
      </c>
      <c r="G165" s="10" t="s">
        <v>57</v>
      </c>
      <c r="H165" s="9" t="s">
        <v>32</v>
      </c>
      <c r="I165" s="11" t="s">
        <v>495</v>
      </c>
      <c r="J165" s="11" t="s">
        <v>496</v>
      </c>
      <c r="K165" s="11"/>
      <c r="L165" s="12" t="str">
        <f aca="false">IF(B165="","",IF(LEFT(TRIM(B165),2)="ال",MID(TRIM(B165),3,1),LEFT(TRIM(B165),1)))</f>
        <v>إ</v>
      </c>
      <c r="M165" s="7" t="n">
        <f aca="false">IF(B165="","",LEN(TRIM(B165))-LEN(SUBSTITUTE(TRIM(B165)," ",""))+1)</f>
        <v>2</v>
      </c>
      <c r="N165" s="10" t="s">
        <v>35</v>
      </c>
    </row>
    <row r="166" customFormat="false" ht="15" hidden="false" customHeight="false" outlineLevel="0" collapsed="false">
      <c r="A166" s="7" t="n">
        <v>165</v>
      </c>
      <c r="B166" s="8" t="s">
        <v>497</v>
      </c>
      <c r="C166" s="9" t="s">
        <v>498</v>
      </c>
      <c r="D166" s="10" t="s">
        <v>30</v>
      </c>
      <c r="E166" s="10" t="n">
        <v>2008</v>
      </c>
      <c r="F166" s="7" t="str">
        <f aca="false">IF(E166="","",IF(E166&lt;1970,"Abyad w eswed",IF(E166&lt;2000,"70s-90s",IF(E166&lt;2015,"2000s","Gedeed"))))</f>
        <v>2000s</v>
      </c>
      <c r="G166" s="10" t="s">
        <v>31</v>
      </c>
      <c r="H166" s="9" t="s">
        <v>53</v>
      </c>
      <c r="I166" s="11" t="s">
        <v>489</v>
      </c>
      <c r="J166" s="11" t="s">
        <v>499</v>
      </c>
      <c r="K166" s="11"/>
      <c r="L166" s="12" t="str">
        <f aca="false">IF(B166="","",IF(LEFT(TRIM(B166),2)="ال",MID(TRIM(B166),3,1),LEFT(TRIM(B166),1)))</f>
        <v>ر</v>
      </c>
      <c r="M166" s="7" t="n">
        <f aca="false">IF(B166="","",LEN(TRIM(B166))-LEN(SUBSTITUTE(TRIM(B166)," ",""))+1)</f>
        <v>3</v>
      </c>
      <c r="N166" s="10" t="s">
        <v>35</v>
      </c>
    </row>
    <row r="167" customFormat="false" ht="15" hidden="false" customHeight="false" outlineLevel="0" collapsed="false">
      <c r="A167" s="7" t="n">
        <v>166</v>
      </c>
      <c r="B167" s="8" t="s">
        <v>500</v>
      </c>
      <c r="C167" s="9" t="s">
        <v>501</v>
      </c>
      <c r="D167" s="10" t="s">
        <v>30</v>
      </c>
      <c r="E167" s="10" t="n">
        <v>2008</v>
      </c>
      <c r="F167" s="7" t="str">
        <f aca="false">IF(E167="","",IF(E167&lt;1970,"Abyad w eswed",IF(E167&lt;2000,"70s-90s",IF(E167&lt;2015,"2000s","Gedeed"))))</f>
        <v>2000s</v>
      </c>
      <c r="G167" s="10" t="s">
        <v>45</v>
      </c>
      <c r="H167" s="9" t="s">
        <v>32</v>
      </c>
      <c r="I167" s="11" t="s">
        <v>194</v>
      </c>
      <c r="J167" s="11"/>
      <c r="K167" s="11"/>
      <c r="L167" s="12" t="str">
        <f aca="false">IF(B167="","",IF(LEFT(TRIM(B167),2)="ال",MID(TRIM(B167),3,1),LEFT(TRIM(B167),1)))</f>
        <v>ح</v>
      </c>
      <c r="M167" s="7" t="n">
        <f aca="false">IF(B167="","",LEN(TRIM(B167))-LEN(SUBSTITUTE(TRIM(B167)," ",""))+1)</f>
        <v>2</v>
      </c>
      <c r="N167" s="10" t="s">
        <v>35</v>
      </c>
    </row>
    <row r="168" customFormat="false" ht="15" hidden="false" customHeight="false" outlineLevel="0" collapsed="false">
      <c r="A168" s="7" t="n">
        <v>167</v>
      </c>
      <c r="B168" s="8" t="s">
        <v>502</v>
      </c>
      <c r="C168" s="9" t="s">
        <v>503</v>
      </c>
      <c r="D168" s="10" t="s">
        <v>30</v>
      </c>
      <c r="E168" s="10" t="n">
        <v>2008</v>
      </c>
      <c r="F168" s="7" t="str">
        <f aca="false">IF(E168="","",IF(E168&lt;1970,"Abyad w eswed",IF(E168&lt;2000,"70s-90s",IF(E168&lt;2015,"2000s","Gedeed"))))</f>
        <v>2000s</v>
      </c>
      <c r="G168" s="10" t="s">
        <v>45</v>
      </c>
      <c r="H168" s="9" t="s">
        <v>32</v>
      </c>
      <c r="I168" s="11" t="s">
        <v>443</v>
      </c>
      <c r="J168" s="11" t="s">
        <v>504</v>
      </c>
      <c r="K168" s="11"/>
      <c r="L168" s="12" t="str">
        <f aca="false">IF(B168="","",IF(LEFT(TRIM(B168),2)="ال",MID(TRIM(B168),3,1),LEFT(TRIM(B168),1)))</f>
        <v>ر</v>
      </c>
      <c r="M168" s="7" t="n">
        <f aca="false">IF(B168="","",LEN(TRIM(B168))-LEN(SUBSTITUTE(TRIM(B168)," ",""))+1)</f>
        <v>2</v>
      </c>
      <c r="N168" s="10" t="s">
        <v>35</v>
      </c>
    </row>
    <row r="169" customFormat="false" ht="15" hidden="false" customHeight="false" outlineLevel="0" collapsed="false">
      <c r="A169" s="7" t="n">
        <v>168</v>
      </c>
      <c r="B169" s="8" t="s">
        <v>505</v>
      </c>
      <c r="C169" s="9" t="s">
        <v>506</v>
      </c>
      <c r="D169" s="10" t="s">
        <v>30</v>
      </c>
      <c r="E169" s="10" t="n">
        <v>2008</v>
      </c>
      <c r="F169" s="7" t="str">
        <f aca="false">IF(E169="","",IF(E169&lt;1970,"Abyad w eswed",IF(E169&lt;2000,"70s-90s",IF(E169&lt;2015,"2000s","Gedeed"))))</f>
        <v>2000s</v>
      </c>
      <c r="G169" s="10" t="s">
        <v>57</v>
      </c>
      <c r="H169" s="9" t="s">
        <v>32</v>
      </c>
      <c r="I169" s="11" t="s">
        <v>325</v>
      </c>
      <c r="J169" s="11" t="s">
        <v>507</v>
      </c>
      <c r="K169" s="11"/>
      <c r="L169" s="12" t="str">
        <f aca="false">IF(B169="","",IF(LEFT(TRIM(B169),2)="ال",MID(TRIM(B169),3,1),LEFT(TRIM(B169),1)))</f>
        <v>ر</v>
      </c>
      <c r="M169" s="7" t="n">
        <f aca="false">IF(B169="","",LEN(TRIM(B169))-LEN(SUBSTITUTE(TRIM(B169)," ",""))+1)</f>
        <v>5</v>
      </c>
      <c r="N169" s="10" t="s">
        <v>35</v>
      </c>
    </row>
    <row r="170" customFormat="false" ht="15" hidden="false" customHeight="false" outlineLevel="0" collapsed="false">
      <c r="A170" s="7" t="n">
        <v>169</v>
      </c>
      <c r="B170" s="8" t="s">
        <v>508</v>
      </c>
      <c r="C170" s="9" t="s">
        <v>509</v>
      </c>
      <c r="D170" s="10" t="s">
        <v>30</v>
      </c>
      <c r="E170" s="10" t="n">
        <v>2008</v>
      </c>
      <c r="F170" s="7" t="str">
        <f aca="false">IF(E170="","",IF(E170&lt;1970,"Abyad w eswed",IF(E170&lt;2000,"70s-90s",IF(E170&lt;2015,"2000s","Gedeed"))))</f>
        <v>2000s</v>
      </c>
      <c r="G170" s="10" t="s">
        <v>45</v>
      </c>
      <c r="H170" s="9" t="s">
        <v>32</v>
      </c>
      <c r="I170" s="11" t="s">
        <v>325</v>
      </c>
      <c r="J170" s="11"/>
      <c r="K170" s="11"/>
      <c r="L170" s="12" t="str">
        <f aca="false">IF(B170="","",IF(LEFT(TRIM(B170),2)="ال",MID(TRIM(B170),3,1),LEFT(TRIM(B170),1)))</f>
        <v>ع</v>
      </c>
      <c r="M170" s="7" t="n">
        <f aca="false">IF(B170="","",LEN(TRIM(B170))-LEN(SUBSTITUTE(TRIM(B170)," ",""))+1)</f>
        <v>2</v>
      </c>
      <c r="N170" s="10" t="s">
        <v>35</v>
      </c>
    </row>
    <row r="171" customFormat="false" ht="15" hidden="false" customHeight="false" outlineLevel="0" collapsed="false">
      <c r="A171" s="7" t="n">
        <v>170</v>
      </c>
      <c r="B171" s="8" t="s">
        <v>510</v>
      </c>
      <c r="C171" s="9" t="s">
        <v>511</v>
      </c>
      <c r="D171" s="10" t="s">
        <v>30</v>
      </c>
      <c r="E171" s="10" t="n">
        <v>2008</v>
      </c>
      <c r="F171" s="7" t="str">
        <f aca="false">IF(E171="","",IF(E171&lt;1970,"Abyad w eswed",IF(E171&lt;2000,"70s-90s",IF(E171&lt;2015,"2000s","Gedeed"))))</f>
        <v>2000s</v>
      </c>
      <c r="G171" s="10" t="s">
        <v>31</v>
      </c>
      <c r="H171" s="9" t="s">
        <v>53</v>
      </c>
      <c r="I171" s="11" t="s">
        <v>512</v>
      </c>
      <c r="J171" s="11"/>
      <c r="K171" s="11"/>
      <c r="L171" s="12" t="str">
        <f aca="false">IF(B171="","",IF(LEFT(TRIM(B171),2)="ال",MID(TRIM(B171),3,1),LEFT(TRIM(B171),1)))</f>
        <v>ك</v>
      </c>
      <c r="M171" s="7" t="n">
        <f aca="false">IF(B171="","",LEN(TRIM(B171))-LEN(SUBSTITUTE(TRIM(B171)," ",""))+1)</f>
        <v>1</v>
      </c>
      <c r="N171" s="10" t="s">
        <v>42</v>
      </c>
    </row>
    <row r="172" customFormat="false" ht="15" hidden="false" customHeight="false" outlineLevel="0" collapsed="false">
      <c r="A172" s="7" t="n">
        <v>171</v>
      </c>
      <c r="B172" s="8" t="s">
        <v>513</v>
      </c>
      <c r="C172" s="9" t="s">
        <v>514</v>
      </c>
      <c r="D172" s="10" t="s">
        <v>30</v>
      </c>
      <c r="E172" s="10" t="n">
        <v>2008</v>
      </c>
      <c r="F172" s="7" t="str">
        <f aca="false">IF(E172="","",IF(E172&lt;1970,"Abyad w eswed",IF(E172&lt;2000,"70s-90s",IF(E172&lt;2015,"2000s","Gedeed"))))</f>
        <v>2000s</v>
      </c>
      <c r="G172" s="10" t="s">
        <v>45</v>
      </c>
      <c r="H172" s="9" t="s">
        <v>251</v>
      </c>
      <c r="I172" s="11" t="s">
        <v>515</v>
      </c>
      <c r="J172" s="11"/>
      <c r="K172" s="11"/>
      <c r="L172" s="12" t="str">
        <f aca="false">IF(B172="","",IF(LEFT(TRIM(B172),2)="ال",MID(TRIM(B172),3,1),LEFT(TRIM(B172),1)))</f>
        <v>م</v>
      </c>
      <c r="M172" s="7" t="n">
        <f aca="false">IF(B172="","",LEN(TRIM(B172))-LEN(SUBSTITUTE(TRIM(B172)," ",""))+1)</f>
        <v>2</v>
      </c>
      <c r="N172" s="10" t="s">
        <v>35</v>
      </c>
    </row>
    <row r="173" customFormat="false" ht="15" hidden="false" customHeight="false" outlineLevel="0" collapsed="false">
      <c r="A173" s="7" t="n">
        <v>172</v>
      </c>
      <c r="B173" s="8" t="s">
        <v>516</v>
      </c>
      <c r="C173" s="9" t="s">
        <v>517</v>
      </c>
      <c r="D173" s="10" t="s">
        <v>30</v>
      </c>
      <c r="E173" s="10" t="n">
        <v>2008</v>
      </c>
      <c r="F173" s="7" t="str">
        <f aca="false">IF(E173="","",IF(E173&lt;1970,"Abyad w eswed",IF(E173&lt;2000,"70s-90s",IF(E173&lt;2015,"2000s","Gedeed"))))</f>
        <v>2000s</v>
      </c>
      <c r="G173" s="10" t="s">
        <v>45</v>
      </c>
      <c r="H173" s="9" t="s">
        <v>32</v>
      </c>
      <c r="I173" s="11" t="s">
        <v>518</v>
      </c>
      <c r="J173" s="11"/>
      <c r="K173" s="11"/>
      <c r="L173" s="12" t="str">
        <f aca="false">IF(B173="","",IF(LEFT(TRIM(B173),2)="ال",MID(TRIM(B173),3,1),LEFT(TRIM(B173),1)))</f>
        <v>و</v>
      </c>
      <c r="M173" s="7" t="n">
        <f aca="false">IF(B173="","",LEN(TRIM(B173))-LEN(SUBSTITUTE(TRIM(B173)," ",""))+1)</f>
        <v>2</v>
      </c>
      <c r="N173" s="10" t="s">
        <v>35</v>
      </c>
    </row>
    <row r="174" customFormat="false" ht="15" hidden="false" customHeight="false" outlineLevel="0" collapsed="false">
      <c r="A174" s="7" t="n">
        <v>173</v>
      </c>
      <c r="B174" s="8" t="s">
        <v>519</v>
      </c>
      <c r="C174" s="9" t="s">
        <v>520</v>
      </c>
      <c r="D174" s="10" t="s">
        <v>30</v>
      </c>
      <c r="E174" s="10" t="n">
        <v>2009</v>
      </c>
      <c r="F174" s="7" t="str">
        <f aca="false">IF(E174="","",IF(E174&lt;1970,"Abyad w eswed",IF(E174&lt;2000,"70s-90s",IF(E174&lt;2015,"2000s","Gedeed"))))</f>
        <v>2000s</v>
      </c>
      <c r="G174" s="10" t="s">
        <v>45</v>
      </c>
      <c r="H174" s="9" t="s">
        <v>53</v>
      </c>
      <c r="I174" s="11" t="s">
        <v>400</v>
      </c>
      <c r="J174" s="11" t="s">
        <v>521</v>
      </c>
      <c r="K174" s="11"/>
      <c r="L174" s="12" t="str">
        <f aca="false">IF(B174="","",IF(LEFT(TRIM(B174),2)="ال",MID(TRIM(B174),3,1),LEFT(TRIM(B174),1)))</f>
        <v>أ</v>
      </c>
      <c r="M174" s="7" t="n">
        <f aca="false">IF(B174="","",LEN(TRIM(B174))-LEN(SUBSTITUTE(TRIM(B174)," ",""))+1)</f>
        <v>2</v>
      </c>
      <c r="N174" s="10" t="s">
        <v>35</v>
      </c>
    </row>
    <row r="175" customFormat="false" ht="15" hidden="false" customHeight="false" outlineLevel="0" collapsed="false">
      <c r="A175" s="7" t="n">
        <v>174</v>
      </c>
      <c r="B175" s="8" t="s">
        <v>522</v>
      </c>
      <c r="C175" s="9" t="s">
        <v>523</v>
      </c>
      <c r="D175" s="10" t="s">
        <v>30</v>
      </c>
      <c r="E175" s="10" t="n">
        <v>2009</v>
      </c>
      <c r="F175" s="7" t="str">
        <f aca="false">IF(E175="","",IF(E175&lt;1970,"Abyad w eswed",IF(E175&lt;2000,"70s-90s",IF(E175&lt;2015,"2000s","Gedeed"))))</f>
        <v>2000s</v>
      </c>
      <c r="G175" s="10" t="s">
        <v>45</v>
      </c>
      <c r="H175" s="9" t="s">
        <v>32</v>
      </c>
      <c r="I175" s="11" t="s">
        <v>325</v>
      </c>
      <c r="J175" s="11"/>
      <c r="K175" s="11"/>
      <c r="L175" s="12" t="str">
        <f aca="false">IF(B175="","",IF(LEFT(TRIM(B175),2)="ال",MID(TRIM(B175),3,1),LEFT(TRIM(B175),1)))</f>
        <v>أ</v>
      </c>
      <c r="M175" s="7" t="n">
        <f aca="false">IF(B175="","",LEN(TRIM(B175))-LEN(SUBSTITUTE(TRIM(B175)," ",""))+1)</f>
        <v>2</v>
      </c>
      <c r="N175" s="10" t="s">
        <v>35</v>
      </c>
    </row>
    <row r="176" customFormat="false" ht="15" hidden="false" customHeight="false" outlineLevel="0" collapsed="false">
      <c r="A176" s="7" t="n">
        <v>175</v>
      </c>
      <c r="B176" s="8" t="s">
        <v>524</v>
      </c>
      <c r="C176" s="9" t="s">
        <v>525</v>
      </c>
      <c r="D176" s="10" t="s">
        <v>30</v>
      </c>
      <c r="E176" s="10" t="n">
        <v>2009</v>
      </c>
      <c r="F176" s="7" t="str">
        <f aca="false">IF(E176="","",IF(E176&lt;1970,"Abyad w eswed",IF(E176&lt;2000,"70s-90s",IF(E176&lt;2015,"2000s","Gedeed"))))</f>
        <v>2000s</v>
      </c>
      <c r="G176" s="10" t="s">
        <v>45</v>
      </c>
      <c r="H176" s="9" t="s">
        <v>251</v>
      </c>
      <c r="I176" s="11" t="s">
        <v>348</v>
      </c>
      <c r="J176" s="11" t="s">
        <v>524</v>
      </c>
      <c r="K176" s="11"/>
      <c r="L176" s="12" t="str">
        <f aca="false">IF(B176="","",IF(LEFT(TRIM(B176),2)="ال",MID(TRIM(B176),3,1),LEFT(TRIM(B176),1)))</f>
        <v>إ</v>
      </c>
      <c r="M176" s="7" t="n">
        <f aca="false">IF(B176="","",LEN(TRIM(B176))-LEN(SUBSTITUTE(TRIM(B176)," ",""))+1)</f>
        <v>2</v>
      </c>
      <c r="N176" s="10" t="s">
        <v>35</v>
      </c>
    </row>
    <row r="177" customFormat="false" ht="15" hidden="false" customHeight="false" outlineLevel="0" collapsed="false">
      <c r="A177" s="7" t="n">
        <v>176</v>
      </c>
      <c r="B177" s="8" t="s">
        <v>526</v>
      </c>
      <c r="C177" s="9" t="s">
        <v>527</v>
      </c>
      <c r="D177" s="10" t="s">
        <v>30</v>
      </c>
      <c r="E177" s="10" t="n">
        <v>2009</v>
      </c>
      <c r="F177" s="7" t="str">
        <f aca="false">IF(E177="","",IF(E177&lt;1970,"Abyad w eswed",IF(E177&lt;2000,"70s-90s",IF(E177&lt;2015,"2000s","Gedeed"))))</f>
        <v>2000s</v>
      </c>
      <c r="G177" s="10" t="s">
        <v>31</v>
      </c>
      <c r="H177" s="9" t="s">
        <v>53</v>
      </c>
      <c r="I177" s="11" t="s">
        <v>512</v>
      </c>
      <c r="J177" s="11"/>
      <c r="K177" s="11"/>
      <c r="L177" s="12" t="str">
        <f aca="false">IF(B177="","",IF(LEFT(TRIM(B177),2)="ال",MID(TRIM(B177),3,1),LEFT(TRIM(B177),1)))</f>
        <v>ف</v>
      </c>
      <c r="M177" s="7" t="n">
        <f aca="false">IF(B177="","",LEN(TRIM(B177))-LEN(SUBSTITUTE(TRIM(B177)," ",""))+1)</f>
        <v>1</v>
      </c>
      <c r="N177" s="10" t="s">
        <v>42</v>
      </c>
    </row>
    <row r="178" customFormat="false" ht="15" hidden="false" customHeight="false" outlineLevel="0" collapsed="false">
      <c r="A178" s="7" t="n">
        <v>177</v>
      </c>
      <c r="B178" s="8" t="s">
        <v>528</v>
      </c>
      <c r="C178" s="9" t="s">
        <v>529</v>
      </c>
      <c r="D178" s="10" t="s">
        <v>30</v>
      </c>
      <c r="E178" s="10" t="n">
        <v>2009</v>
      </c>
      <c r="F178" s="7" t="str">
        <f aca="false">IF(E178="","",IF(E178&lt;1970,"Abyad w eswed",IF(E178&lt;2000,"70s-90s",IF(E178&lt;2015,"2000s","Gedeed"))))</f>
        <v>2000s</v>
      </c>
      <c r="G178" s="10" t="s">
        <v>45</v>
      </c>
      <c r="H178" s="9" t="s">
        <v>32</v>
      </c>
      <c r="I178" s="11" t="s">
        <v>194</v>
      </c>
      <c r="J178" s="11"/>
      <c r="K178" s="11"/>
      <c r="L178" s="12" t="str">
        <f aca="false">IF(B178="","",IF(LEFT(TRIM(B178),2)="ال",MID(TRIM(B178),3,1),LEFT(TRIM(B178),1)))</f>
        <v>ب</v>
      </c>
      <c r="M178" s="7" t="n">
        <f aca="false">IF(B178="","",LEN(TRIM(B178))-LEN(SUBSTITUTE(TRIM(B178)," ",""))+1)</f>
        <v>1</v>
      </c>
      <c r="N178" s="10" t="s">
        <v>35</v>
      </c>
    </row>
    <row r="179" customFormat="false" ht="15" hidden="false" customHeight="false" outlineLevel="0" collapsed="false">
      <c r="A179" s="7" t="n">
        <v>178</v>
      </c>
      <c r="B179" s="8" t="s">
        <v>530</v>
      </c>
      <c r="C179" s="9" t="s">
        <v>531</v>
      </c>
      <c r="D179" s="10" t="s">
        <v>30</v>
      </c>
      <c r="E179" s="10" t="n">
        <v>2009</v>
      </c>
      <c r="F179" s="7" t="str">
        <f aca="false">IF(E179="","",IF(E179&lt;1970,"Abyad w eswed",IF(E179&lt;2000,"70s-90s",IF(E179&lt;2015,"2000s","Gedeed"))))</f>
        <v>2000s</v>
      </c>
      <c r="G179" s="10" t="s">
        <v>31</v>
      </c>
      <c r="H179" s="9" t="s">
        <v>53</v>
      </c>
      <c r="I179" s="11" t="s">
        <v>532</v>
      </c>
      <c r="J179" s="11" t="s">
        <v>533</v>
      </c>
      <c r="K179" s="11"/>
      <c r="L179" s="12" t="str">
        <f aca="false">IF(B179="","",IF(LEFT(TRIM(B179),2)="ال",MID(TRIM(B179),3,1),LEFT(TRIM(B179),1)))</f>
        <v>خ</v>
      </c>
      <c r="M179" s="7" t="n">
        <f aca="false">IF(B179="","",LEN(TRIM(B179))-LEN(SUBSTITUTE(TRIM(B179)," ",""))+1)</f>
        <v>2</v>
      </c>
      <c r="N179" s="10" t="s">
        <v>35</v>
      </c>
    </row>
    <row r="180" customFormat="false" ht="15" hidden="false" customHeight="false" outlineLevel="0" collapsed="false">
      <c r="A180" s="7" t="n">
        <v>179</v>
      </c>
      <c r="B180" s="8" t="s">
        <v>534</v>
      </c>
      <c r="C180" s="9" t="s">
        <v>535</v>
      </c>
      <c r="D180" s="10" t="s">
        <v>30</v>
      </c>
      <c r="E180" s="10" t="n">
        <v>2009</v>
      </c>
      <c r="F180" s="7" t="str">
        <f aca="false">IF(E180="","",IF(E180&lt;1970,"Abyad w eswed",IF(E180&lt;2000,"70s-90s",IF(E180&lt;2015,"2000s","Gedeed"))))</f>
        <v>2000s</v>
      </c>
      <c r="G180" s="10" t="s">
        <v>45</v>
      </c>
      <c r="H180" s="9" t="s">
        <v>53</v>
      </c>
      <c r="I180" s="11" t="s">
        <v>475</v>
      </c>
      <c r="J180" s="11" t="s">
        <v>536</v>
      </c>
      <c r="K180" s="11"/>
      <c r="L180" s="12" t="str">
        <f aca="false">IF(B180="","",IF(LEFT(TRIM(B180),2)="ال",MID(TRIM(B180),3,1),LEFT(TRIM(B180),1)))</f>
        <v>د</v>
      </c>
      <c r="M180" s="7" t="n">
        <f aca="false">IF(B180="","",LEN(TRIM(B180))-LEN(SUBSTITUTE(TRIM(B180)," ",""))+1)</f>
        <v>2</v>
      </c>
      <c r="N180" s="10" t="s">
        <v>35</v>
      </c>
    </row>
    <row r="181" customFormat="false" ht="15" hidden="false" customHeight="false" outlineLevel="0" collapsed="false">
      <c r="A181" s="7" t="n">
        <v>180</v>
      </c>
      <c r="B181" s="8" t="s">
        <v>537</v>
      </c>
      <c r="C181" s="9" t="s">
        <v>538</v>
      </c>
      <c r="D181" s="10" t="s">
        <v>30</v>
      </c>
      <c r="E181" s="10" t="n">
        <v>2009</v>
      </c>
      <c r="F181" s="7" t="str">
        <f aca="false">IF(E181="","",IF(E181&lt;1970,"Abyad w eswed",IF(E181&lt;2000,"70s-90s",IF(E181&lt;2015,"2000s","Gedeed"))))</f>
        <v>2000s</v>
      </c>
      <c r="G181" s="10" t="s">
        <v>57</v>
      </c>
      <c r="H181" s="9" t="s">
        <v>32</v>
      </c>
      <c r="I181" s="11" t="s">
        <v>495</v>
      </c>
      <c r="J181" s="11"/>
      <c r="K181" s="11"/>
      <c r="L181" s="12" t="str">
        <f aca="false">IF(B181="","",IF(LEFT(TRIM(B181),2)="ال",MID(TRIM(B181),3,1),LEFT(TRIM(B181),1)))</f>
        <v>ط</v>
      </c>
      <c r="M181" s="7" t="n">
        <f aca="false">IF(B181="","",LEN(TRIM(B181))-LEN(SUBSTITUTE(TRIM(B181)," ",""))+1)</f>
        <v>2</v>
      </c>
      <c r="N181" s="10" t="s">
        <v>35</v>
      </c>
    </row>
    <row r="182" customFormat="false" ht="15" hidden="false" customHeight="false" outlineLevel="0" collapsed="false">
      <c r="A182" s="7" t="n">
        <v>181</v>
      </c>
      <c r="B182" s="8" t="s">
        <v>539</v>
      </c>
      <c r="C182" s="9" t="s">
        <v>540</v>
      </c>
      <c r="D182" s="10" t="s">
        <v>30</v>
      </c>
      <c r="E182" s="10" t="n">
        <v>2009</v>
      </c>
      <c r="F182" s="7" t="str">
        <f aca="false">IF(E182="","",IF(E182&lt;1970,"Abyad w eswed",IF(E182&lt;2000,"70s-90s",IF(E182&lt;2015,"2000s","Gedeed"))))</f>
        <v>2000s</v>
      </c>
      <c r="G182" s="10" t="s">
        <v>31</v>
      </c>
      <c r="H182" s="9" t="s">
        <v>53</v>
      </c>
      <c r="I182" s="11" t="s">
        <v>532</v>
      </c>
      <c r="J182" s="11"/>
      <c r="K182" s="11"/>
      <c r="L182" s="12" t="str">
        <f aca="false">IF(B182="","",IF(LEFT(TRIM(B182),2)="ال",MID(TRIM(B182),3,1),LEFT(TRIM(B182),1)))</f>
        <v>و</v>
      </c>
      <c r="M182" s="7" t="n">
        <f aca="false">IF(B182="","",LEN(TRIM(B182))-LEN(SUBSTITUTE(TRIM(B182)," ",""))+1)</f>
        <v>2</v>
      </c>
      <c r="N182" s="10" t="s">
        <v>35</v>
      </c>
    </row>
    <row r="183" customFormat="false" ht="15" hidden="false" customHeight="false" outlineLevel="0" collapsed="false">
      <c r="A183" s="7" t="n">
        <v>182</v>
      </c>
      <c r="B183" s="8" t="s">
        <v>541</v>
      </c>
      <c r="C183" s="9" t="s">
        <v>542</v>
      </c>
      <c r="D183" s="10" t="s">
        <v>30</v>
      </c>
      <c r="E183" s="10" t="n">
        <v>2009</v>
      </c>
      <c r="F183" s="7" t="str">
        <f aca="false">IF(E183="","",IF(E183&lt;1970,"Abyad w eswed",IF(E183&lt;2000,"70s-90s",IF(E183&lt;2015,"2000s","Gedeed"))))</f>
        <v>2000s</v>
      </c>
      <c r="G183" s="10" t="s">
        <v>45</v>
      </c>
      <c r="H183" s="9" t="s">
        <v>251</v>
      </c>
      <c r="I183" s="11" t="s">
        <v>373</v>
      </c>
      <c r="J183" s="11"/>
      <c r="K183" s="11"/>
      <c r="L183" s="12" t="str">
        <f aca="false">IF(B183="","",IF(LEFT(TRIM(B183),2)="ال",MID(TRIM(B183),3,1),LEFT(TRIM(B183),1)))</f>
        <v>و</v>
      </c>
      <c r="M183" s="7" t="n">
        <f aca="false">IF(B183="","",LEN(TRIM(B183))-LEN(SUBSTITUTE(TRIM(B183)," ",""))+1)</f>
        <v>2</v>
      </c>
      <c r="N183" s="10" t="s">
        <v>35</v>
      </c>
    </row>
    <row r="184" customFormat="false" ht="15" hidden="false" customHeight="false" outlineLevel="0" collapsed="false">
      <c r="A184" s="7" t="n">
        <v>183</v>
      </c>
      <c r="B184" s="8" t="s">
        <v>543</v>
      </c>
      <c r="C184" s="9" t="s">
        <v>544</v>
      </c>
      <c r="D184" s="10" t="s">
        <v>30</v>
      </c>
      <c r="E184" s="10" t="n">
        <v>2010</v>
      </c>
      <c r="F184" s="7" t="str">
        <f aca="false">IF(E184="","",IF(E184&lt;1970,"Abyad w eswed",IF(E184&lt;2000,"70s-90s",IF(E184&lt;2015,"2000s","Gedeed"))))</f>
        <v>2000s</v>
      </c>
      <c r="G184" s="10" t="s">
        <v>45</v>
      </c>
      <c r="H184" s="9" t="s">
        <v>32</v>
      </c>
      <c r="I184" s="11" t="s">
        <v>348</v>
      </c>
      <c r="J184" s="11"/>
      <c r="K184" s="11"/>
      <c r="L184" s="12" t="str">
        <f aca="false">IF(B184="","",IF(LEFT(TRIM(B184),2)="ال",MID(TRIM(B184),3,1),LEFT(TRIM(B184),1)))</f>
        <v>ا</v>
      </c>
      <c r="M184" s="7" t="n">
        <f aca="false">IF(B184="","",LEN(TRIM(B184))-LEN(SUBSTITUTE(TRIM(B184)," ",""))+1)</f>
        <v>2</v>
      </c>
      <c r="N184" s="10" t="s">
        <v>35</v>
      </c>
    </row>
    <row r="185" customFormat="false" ht="15" hidden="false" customHeight="false" outlineLevel="0" collapsed="false">
      <c r="A185" s="7" t="n">
        <v>184</v>
      </c>
      <c r="B185" s="8" t="s">
        <v>545</v>
      </c>
      <c r="C185" s="9" t="s">
        <v>546</v>
      </c>
      <c r="D185" s="10" t="s">
        <v>30</v>
      </c>
      <c r="E185" s="10" t="n">
        <v>2010</v>
      </c>
      <c r="F185" s="7" t="str">
        <f aca="false">IF(E185="","",IF(E185&lt;1970,"Abyad w eswed",IF(E185&lt;2000,"70s-90s",IF(E185&lt;2015,"2000s","Gedeed"))))</f>
        <v>2000s</v>
      </c>
      <c r="G185" s="10" t="s">
        <v>45</v>
      </c>
      <c r="H185" s="9" t="s">
        <v>32</v>
      </c>
      <c r="I185" s="11" t="s">
        <v>547</v>
      </c>
      <c r="J185" s="11" t="s">
        <v>548</v>
      </c>
      <c r="K185" s="11"/>
      <c r="L185" s="12" t="str">
        <f aca="false">IF(B185="","",IF(LEFT(TRIM(B185),2)="ال",MID(TRIM(B185),3,1),LEFT(TRIM(B185),1)))</f>
        <v>ث</v>
      </c>
      <c r="M185" s="7" t="n">
        <f aca="false">IF(B185="","",LEN(TRIM(B185))-LEN(SUBSTITUTE(TRIM(B185)," ",""))+1)</f>
        <v>2</v>
      </c>
      <c r="N185" s="10" t="s">
        <v>35</v>
      </c>
    </row>
    <row r="186" customFormat="false" ht="15" hidden="false" customHeight="false" outlineLevel="0" collapsed="false">
      <c r="A186" s="7" t="n">
        <v>185</v>
      </c>
      <c r="B186" s="8" t="s">
        <v>549</v>
      </c>
      <c r="C186" s="9" t="s">
        <v>550</v>
      </c>
      <c r="D186" s="10" t="s">
        <v>30</v>
      </c>
      <c r="E186" s="10" t="n">
        <v>2010</v>
      </c>
      <c r="F186" s="7" t="str">
        <f aca="false">IF(E186="","",IF(E186&lt;1970,"Abyad w eswed",IF(E186&lt;2000,"70s-90s",IF(E186&lt;2015,"2000s","Gedeed"))))</f>
        <v>2000s</v>
      </c>
      <c r="G186" s="10" t="s">
        <v>57</v>
      </c>
      <c r="H186" s="9" t="s">
        <v>32</v>
      </c>
      <c r="I186" s="11" t="s">
        <v>370</v>
      </c>
      <c r="J186" s="11" t="s">
        <v>368</v>
      </c>
      <c r="K186" s="11"/>
      <c r="L186" s="12" t="str">
        <f aca="false">IF(B186="","",IF(LEFT(TRIM(B186),2)="ال",MID(TRIM(B186),3,1),LEFT(TRIM(B186),1)))</f>
        <v>ل</v>
      </c>
      <c r="M186" s="7" t="n">
        <f aca="false">IF(B186="","",LEN(TRIM(B186))-LEN(SUBSTITUTE(TRIM(B186)," ",""))+1)</f>
        <v>3</v>
      </c>
      <c r="N186" s="10" t="s">
        <v>35</v>
      </c>
    </row>
    <row r="187" customFormat="false" ht="15" hidden="false" customHeight="false" outlineLevel="0" collapsed="false">
      <c r="A187" s="7" t="n">
        <v>186</v>
      </c>
      <c r="B187" s="8" t="s">
        <v>551</v>
      </c>
      <c r="C187" s="9" t="s">
        <v>552</v>
      </c>
      <c r="D187" s="10" t="s">
        <v>30</v>
      </c>
      <c r="E187" s="10" t="n">
        <v>2010</v>
      </c>
      <c r="F187" s="7" t="str">
        <f aca="false">IF(E187="","",IF(E187&lt;1970,"Abyad w eswed",IF(E187&lt;2000,"70s-90s",IF(E187&lt;2015,"2000s","Gedeed"))))</f>
        <v>2000s</v>
      </c>
      <c r="G187" s="10" t="s">
        <v>45</v>
      </c>
      <c r="H187" s="9" t="s">
        <v>32</v>
      </c>
      <c r="I187" s="11" t="s">
        <v>400</v>
      </c>
      <c r="J187" s="11" t="s">
        <v>553</v>
      </c>
      <c r="K187" s="11"/>
      <c r="L187" s="12" t="str">
        <f aca="false">IF(B187="","",IF(LEFT(TRIM(B187),2)="ال",MID(TRIM(B187),3,1),LEFT(TRIM(B187),1)))</f>
        <v>ب</v>
      </c>
      <c r="M187" s="7" t="n">
        <f aca="false">IF(B187="","",LEN(TRIM(B187))-LEN(SUBSTITUTE(TRIM(B187)," ",""))+1)</f>
        <v>2</v>
      </c>
      <c r="N187" s="10" t="s">
        <v>35</v>
      </c>
    </row>
    <row r="188" customFormat="false" ht="15" hidden="false" customHeight="false" outlineLevel="0" collapsed="false">
      <c r="A188" s="7" t="n">
        <v>187</v>
      </c>
      <c r="B188" s="8" t="s">
        <v>554</v>
      </c>
      <c r="C188" s="9" t="s">
        <v>555</v>
      </c>
      <c r="D188" s="10" t="s">
        <v>30</v>
      </c>
      <c r="E188" s="10" t="n">
        <v>2010</v>
      </c>
      <c r="F188" s="7" t="str">
        <f aca="false">IF(E188="","",IF(E188&lt;1970,"Abyad w eswed",IF(E188&lt;2000,"70s-90s",IF(E188&lt;2015,"2000s","Gedeed"))))</f>
        <v>2000s</v>
      </c>
      <c r="G188" s="10" t="s">
        <v>45</v>
      </c>
      <c r="H188" s="9" t="s">
        <v>53</v>
      </c>
      <c r="I188" s="11" t="s">
        <v>194</v>
      </c>
      <c r="J188" s="11" t="s">
        <v>556</v>
      </c>
      <c r="K188" s="11"/>
      <c r="L188" s="12" t="str">
        <f aca="false">IF(B188="","",IF(LEFT(TRIM(B188),2)="ال",MID(TRIM(B188),3,1),LEFT(TRIM(B188),1)))</f>
        <v>ز</v>
      </c>
      <c r="M188" s="7" t="n">
        <f aca="false">IF(B188="","",LEN(TRIM(B188))-LEN(SUBSTITUTE(TRIM(B188)," ",""))+1)</f>
        <v>1</v>
      </c>
      <c r="N188" s="10" t="s">
        <v>35</v>
      </c>
    </row>
    <row r="189" customFormat="false" ht="15" hidden="false" customHeight="false" outlineLevel="0" collapsed="false">
      <c r="A189" s="7" t="n">
        <v>188</v>
      </c>
      <c r="B189" s="8" t="s">
        <v>557</v>
      </c>
      <c r="C189" s="9" t="s">
        <v>558</v>
      </c>
      <c r="D189" s="10" t="s">
        <v>30</v>
      </c>
      <c r="E189" s="10" t="n">
        <v>2010</v>
      </c>
      <c r="F189" s="7" t="str">
        <f aca="false">IF(E189="","",IF(E189&lt;1970,"Abyad w eswed",IF(E189&lt;2000,"70s-90s",IF(E189&lt;2015,"2000s","Gedeed"))))</f>
        <v>2000s</v>
      </c>
      <c r="G189" s="10" t="s">
        <v>57</v>
      </c>
      <c r="H189" s="9" t="s">
        <v>32</v>
      </c>
      <c r="I189" s="11" t="s">
        <v>518</v>
      </c>
      <c r="J189" s="11"/>
      <c r="K189" s="11"/>
      <c r="L189" s="12" t="str">
        <f aca="false">IF(B189="","",IF(LEFT(TRIM(B189),2)="ال",MID(TRIM(B189),3,1),LEFT(TRIM(B189),1)))</f>
        <v>س</v>
      </c>
      <c r="M189" s="7" t="n">
        <f aca="false">IF(B189="","",LEN(TRIM(B189))-LEN(SUBSTITUTE(TRIM(B189)," ",""))+1)</f>
        <v>3</v>
      </c>
      <c r="N189" s="10" t="s">
        <v>35</v>
      </c>
    </row>
    <row r="190" customFormat="false" ht="15" hidden="false" customHeight="false" outlineLevel="0" collapsed="false">
      <c r="A190" s="7" t="n">
        <v>189</v>
      </c>
      <c r="B190" s="8" t="s">
        <v>559</v>
      </c>
      <c r="C190" s="9" t="s">
        <v>560</v>
      </c>
      <c r="D190" s="10" t="s">
        <v>30</v>
      </c>
      <c r="E190" s="10" t="n">
        <v>2010</v>
      </c>
      <c r="F190" s="7" t="str">
        <f aca="false">IF(E190="","",IF(E190&lt;1970,"Abyad w eswed",IF(E190&lt;2000,"70s-90s",IF(E190&lt;2015,"2000s","Gedeed"))))</f>
        <v>2000s</v>
      </c>
      <c r="G190" s="10" t="s">
        <v>57</v>
      </c>
      <c r="H190" s="9" t="s">
        <v>32</v>
      </c>
      <c r="I190" s="11" t="s">
        <v>400</v>
      </c>
      <c r="J190" s="11" t="s">
        <v>561</v>
      </c>
      <c r="K190" s="11"/>
      <c r="L190" s="12" t="str">
        <f aca="false">IF(B190="","",IF(LEFT(TRIM(B190),2)="ال",MID(TRIM(B190),3,1),LEFT(TRIM(B190),1)))</f>
        <v>ع</v>
      </c>
      <c r="M190" s="7" t="n">
        <f aca="false">IF(B190="","",LEN(TRIM(B190))-LEN(SUBSTITUTE(TRIM(B190)," ",""))+1)</f>
        <v>2</v>
      </c>
      <c r="N190" s="10" t="s">
        <v>35</v>
      </c>
    </row>
    <row r="191" customFormat="false" ht="15" hidden="false" customHeight="false" outlineLevel="0" collapsed="false">
      <c r="A191" s="7" t="n">
        <v>190</v>
      </c>
      <c r="B191" s="8" t="s">
        <v>562</v>
      </c>
      <c r="C191" s="9" t="s">
        <v>563</v>
      </c>
      <c r="D191" s="10" t="s">
        <v>30</v>
      </c>
      <c r="E191" s="10" t="n">
        <v>2010</v>
      </c>
      <c r="F191" s="7" t="str">
        <f aca="false">IF(E191="","",IF(E191&lt;1970,"Abyad w eswed",IF(E191&lt;2000,"70s-90s",IF(E191&lt;2015,"2000s","Gedeed"))))</f>
        <v>2000s</v>
      </c>
      <c r="G191" s="10" t="s">
        <v>45</v>
      </c>
      <c r="H191" s="9" t="s">
        <v>32</v>
      </c>
      <c r="I191" s="11" t="s">
        <v>564</v>
      </c>
      <c r="J191" s="11" t="s">
        <v>565</v>
      </c>
      <c r="K191" s="11"/>
      <c r="L191" s="12" t="str">
        <f aca="false">IF(B191="","",IF(LEFT(TRIM(B191),2)="ال",MID(TRIM(B191),3,1),LEFT(TRIM(B191),1)))</f>
        <v>ك</v>
      </c>
      <c r="M191" s="7" t="n">
        <f aca="false">IF(B191="","",LEN(TRIM(B191))-LEN(SUBSTITUTE(TRIM(B191)," ",""))+1)</f>
        <v>2</v>
      </c>
      <c r="N191" s="10" t="s">
        <v>35</v>
      </c>
    </row>
    <row r="192" customFormat="false" ht="15" hidden="false" customHeight="false" outlineLevel="0" collapsed="false">
      <c r="A192" s="7" t="n">
        <v>191</v>
      </c>
      <c r="B192" s="8" t="s">
        <v>566</v>
      </c>
      <c r="C192" s="9" t="s">
        <v>567</v>
      </c>
      <c r="D192" s="10" t="s">
        <v>30</v>
      </c>
      <c r="E192" s="10" t="n">
        <v>2010</v>
      </c>
      <c r="F192" s="7" t="str">
        <f aca="false">IF(E192="","",IF(E192&lt;1970,"Abyad w eswed",IF(E192&lt;2000,"70s-90s",IF(E192&lt;2015,"2000s","Gedeed"))))</f>
        <v>2000s</v>
      </c>
      <c r="G192" s="10" t="s">
        <v>57</v>
      </c>
      <c r="H192" s="9" t="s">
        <v>32</v>
      </c>
      <c r="I192" s="11" t="s">
        <v>495</v>
      </c>
      <c r="J192" s="11" t="s">
        <v>568</v>
      </c>
      <c r="K192" s="11"/>
      <c r="L192" s="12" t="str">
        <f aca="false">IF(B192="","",IF(LEFT(TRIM(B192),2)="ال",MID(TRIM(B192),3,1),LEFT(TRIM(B192),1)))</f>
        <v>ل</v>
      </c>
      <c r="M192" s="7" t="n">
        <f aca="false">IF(B192="","",LEN(TRIM(B192))-LEN(SUBSTITUTE(TRIM(B192)," ",""))+1)</f>
        <v>4</v>
      </c>
      <c r="N192" s="10" t="s">
        <v>35</v>
      </c>
    </row>
    <row r="193" customFormat="false" ht="15" hidden="false" customHeight="false" outlineLevel="0" collapsed="false">
      <c r="A193" s="7" t="n">
        <v>192</v>
      </c>
      <c r="B193" s="8" t="s">
        <v>569</v>
      </c>
      <c r="C193" s="9" t="s">
        <v>570</v>
      </c>
      <c r="D193" s="10" t="s">
        <v>30</v>
      </c>
      <c r="E193" s="10" t="n">
        <v>2011</v>
      </c>
      <c r="F193" s="7" t="str">
        <f aca="false">IF(E193="","",IF(E193&lt;1970,"Abyad w eswed",IF(E193&lt;2000,"70s-90s",IF(E193&lt;2015,"2000s","Gedeed"))))</f>
        <v>2000s</v>
      </c>
      <c r="G193" s="10" t="s">
        <v>45</v>
      </c>
      <c r="H193" s="9" t="s">
        <v>32</v>
      </c>
      <c r="I193" s="11" t="s">
        <v>515</v>
      </c>
      <c r="J193" s="11"/>
      <c r="K193" s="11"/>
      <c r="L193" s="12" t="str">
        <f aca="false">IF(B193="","",IF(LEFT(TRIM(B193),2)="ال",MID(TRIM(B193),3,1),LEFT(TRIM(B193),1)))</f>
        <v>3</v>
      </c>
      <c r="M193" s="7" t="n">
        <f aca="false">IF(B193="","",LEN(TRIM(B193))-LEN(SUBSTITUTE(TRIM(B193)," ",""))+1)</f>
        <v>3</v>
      </c>
      <c r="N193" s="10" t="s">
        <v>35</v>
      </c>
    </row>
    <row r="194" customFormat="false" ht="15" hidden="false" customHeight="false" outlineLevel="0" collapsed="false">
      <c r="A194" s="7" t="n">
        <v>193</v>
      </c>
      <c r="B194" s="8" t="s">
        <v>571</v>
      </c>
      <c r="C194" s="9" t="s">
        <v>572</v>
      </c>
      <c r="D194" s="10" t="s">
        <v>30</v>
      </c>
      <c r="E194" s="10" t="n">
        <v>2011</v>
      </c>
      <c r="F194" s="7" t="str">
        <f aca="false">IF(E194="","",IF(E194&lt;1970,"Abyad w eswed",IF(E194&lt;2000,"70s-90s",IF(E194&lt;2015,"2000s","Gedeed"))))</f>
        <v>2000s</v>
      </c>
      <c r="G194" s="10" t="s">
        <v>57</v>
      </c>
      <c r="H194" s="9" t="s">
        <v>32</v>
      </c>
      <c r="I194" s="11" t="s">
        <v>400</v>
      </c>
      <c r="J194" s="11" t="s">
        <v>573</v>
      </c>
      <c r="K194" s="11"/>
      <c r="L194" s="12" t="str">
        <f aca="false">IF(B194="","",IF(LEFT(TRIM(B194),2)="ال",MID(TRIM(B194),3,1),LEFT(TRIM(B194),1)))</f>
        <v>إ</v>
      </c>
      <c r="M194" s="7" t="n">
        <f aca="false">IF(B194="","",LEN(TRIM(B194))-LEN(SUBSTITUTE(TRIM(B194)," ",""))+1)</f>
        <v>2</v>
      </c>
      <c r="N194" s="10" t="s">
        <v>35</v>
      </c>
    </row>
    <row r="195" customFormat="false" ht="15" hidden="false" customHeight="false" outlineLevel="0" collapsed="false">
      <c r="A195" s="7" t="n">
        <v>194</v>
      </c>
      <c r="B195" s="8" t="s">
        <v>574</v>
      </c>
      <c r="C195" s="9" t="s">
        <v>575</v>
      </c>
      <c r="D195" s="10" t="s">
        <v>30</v>
      </c>
      <c r="E195" s="10" t="n">
        <v>2011</v>
      </c>
      <c r="F195" s="7" t="str">
        <f aca="false">IF(E195="","",IF(E195&lt;1970,"Abyad w eswed",IF(E195&lt;2000,"70s-90s",IF(E195&lt;2015,"2000s","Gedeed"))))</f>
        <v>2000s</v>
      </c>
      <c r="G195" s="10" t="s">
        <v>45</v>
      </c>
      <c r="H195" s="9" t="s">
        <v>32</v>
      </c>
      <c r="I195" s="11" t="s">
        <v>547</v>
      </c>
      <c r="J195" s="11"/>
      <c r="K195" s="11"/>
      <c r="L195" s="12" t="str">
        <f aca="false">IF(B195="","",IF(LEFT(TRIM(B195),2)="ال",MID(TRIM(B195),3,1),LEFT(TRIM(B195),1)))</f>
        <v>آ</v>
      </c>
      <c r="M195" s="7" t="n">
        <f aca="false">IF(B195="","",LEN(TRIM(B195))-LEN(SUBSTITUTE(TRIM(B195)," ",""))+1)</f>
        <v>2</v>
      </c>
      <c r="N195" s="10" t="s">
        <v>35</v>
      </c>
    </row>
    <row r="196" customFormat="false" ht="15" hidden="false" customHeight="false" outlineLevel="0" collapsed="false">
      <c r="A196" s="7" t="n">
        <v>195</v>
      </c>
      <c r="B196" s="8" t="s">
        <v>576</v>
      </c>
      <c r="C196" s="9" t="s">
        <v>577</v>
      </c>
      <c r="D196" s="10" t="s">
        <v>30</v>
      </c>
      <c r="E196" s="10" t="n">
        <v>2011</v>
      </c>
      <c r="F196" s="7" t="str">
        <f aca="false">IF(E196="","",IF(E196&lt;1970,"Abyad w eswed",IF(E196&lt;2000,"70s-90s",IF(E196&lt;2015,"2000s","Gedeed"))))</f>
        <v>2000s</v>
      </c>
      <c r="G196" s="10" t="s">
        <v>45</v>
      </c>
      <c r="H196" s="9" t="s">
        <v>32</v>
      </c>
      <c r="I196" s="11" t="s">
        <v>495</v>
      </c>
      <c r="J196" s="11"/>
      <c r="K196" s="11"/>
      <c r="L196" s="12" t="str">
        <f aca="false">IF(B196="","",IF(LEFT(TRIM(B196),2)="ال",MID(TRIM(B196),3,1),LEFT(TRIM(B196),1)))</f>
        <v>س</v>
      </c>
      <c r="M196" s="7" t="n">
        <f aca="false">IF(B196="","",LEN(TRIM(B196))-LEN(SUBSTITUTE(TRIM(B196)," ",""))+1)</f>
        <v>3</v>
      </c>
      <c r="N196" s="10" t="s">
        <v>35</v>
      </c>
    </row>
    <row r="197" customFormat="false" ht="15" hidden="false" customHeight="false" outlineLevel="0" collapsed="false">
      <c r="A197" s="7" t="n">
        <v>196</v>
      </c>
      <c r="B197" s="8" t="s">
        <v>578</v>
      </c>
      <c r="C197" s="9" t="s">
        <v>579</v>
      </c>
      <c r="D197" s="10" t="s">
        <v>30</v>
      </c>
      <c r="E197" s="10" t="n">
        <v>2011</v>
      </c>
      <c r="F197" s="7" t="str">
        <f aca="false">IF(E197="","",IF(E197&lt;1970,"Abyad w eswed",IF(E197&lt;2000,"70s-90s",IF(E197&lt;2015,"2000s","Gedeed"))))</f>
        <v>2000s</v>
      </c>
      <c r="G197" s="10" t="s">
        <v>45</v>
      </c>
      <c r="H197" s="9" t="s">
        <v>68</v>
      </c>
      <c r="I197" s="11" t="s">
        <v>360</v>
      </c>
      <c r="J197" s="11"/>
      <c r="K197" s="11"/>
      <c r="L197" s="12" t="str">
        <f aca="false">IF(B197="","",IF(LEFT(TRIM(B197),2)="ال",MID(TRIM(B197),3,1),LEFT(TRIM(B197),1)))</f>
        <v>و</v>
      </c>
      <c r="M197" s="7" t="n">
        <f aca="false">IF(B197="","",LEN(TRIM(B197))-LEN(SUBSTITUTE(TRIM(B197)," ",""))+1)</f>
        <v>2</v>
      </c>
      <c r="N197" s="10" t="s">
        <v>35</v>
      </c>
    </row>
    <row r="198" customFormat="false" ht="15" hidden="false" customHeight="false" outlineLevel="0" collapsed="false">
      <c r="A198" s="7" t="n">
        <v>197</v>
      </c>
      <c r="B198" s="8" t="s">
        <v>580</v>
      </c>
      <c r="C198" s="9" t="s">
        <v>581</v>
      </c>
      <c r="D198" s="10" t="s">
        <v>30</v>
      </c>
      <c r="E198" s="10" t="n">
        <v>2012</v>
      </c>
      <c r="F198" s="7" t="str">
        <f aca="false">IF(E198="","",IF(E198&lt;1970,"Abyad w eswed",IF(E198&lt;2000,"70s-90s",IF(E198&lt;2015,"2000s","Gedeed"))))</f>
        <v>2000s</v>
      </c>
      <c r="G198" s="10" t="s">
        <v>45</v>
      </c>
      <c r="H198" s="9" t="s">
        <v>251</v>
      </c>
      <c r="I198" s="11" t="s">
        <v>582</v>
      </c>
      <c r="J198" s="11"/>
      <c r="K198" s="11"/>
      <c r="L198" s="12" t="str">
        <f aca="false">IF(B198="","",IF(LEFT(TRIM(B198),2)="ال",MID(TRIM(B198),3,1),LEFT(TRIM(B198),1)))</f>
        <v>أ</v>
      </c>
      <c r="M198" s="7" t="n">
        <f aca="false">IF(B198="","",LEN(TRIM(B198))-LEN(SUBSTITUTE(TRIM(B198)," ",""))+1)</f>
        <v>1</v>
      </c>
      <c r="N198" s="10" t="s">
        <v>35</v>
      </c>
    </row>
    <row r="199" customFormat="false" ht="15" hidden="false" customHeight="false" outlineLevel="0" collapsed="false">
      <c r="A199" s="7" t="n">
        <v>198</v>
      </c>
      <c r="B199" s="8" t="s">
        <v>583</v>
      </c>
      <c r="C199" s="9" t="s">
        <v>584</v>
      </c>
      <c r="D199" s="10" t="s">
        <v>30</v>
      </c>
      <c r="E199" s="10" t="n">
        <v>2012</v>
      </c>
      <c r="F199" s="7" t="str">
        <f aca="false">IF(E199="","",IF(E199&lt;1970,"Abyad w eswed",IF(E199&lt;2000,"70s-90s",IF(E199&lt;2015,"2000s","Gedeed"))))</f>
        <v>2000s</v>
      </c>
      <c r="G199" s="10" t="s">
        <v>45</v>
      </c>
      <c r="H199" s="9" t="s">
        <v>251</v>
      </c>
      <c r="I199" s="11" t="s">
        <v>348</v>
      </c>
      <c r="J199" s="11"/>
      <c r="K199" s="11"/>
      <c r="L199" s="12" t="str">
        <f aca="false">IF(B199="","",IF(LEFT(TRIM(B199),2)="ال",MID(TRIM(B199),3,1),LEFT(TRIM(B199),1)))</f>
        <v>م</v>
      </c>
      <c r="M199" s="7" t="n">
        <f aca="false">IF(B199="","",LEN(TRIM(B199))-LEN(SUBSTITUTE(TRIM(B199)," ",""))+1)</f>
        <v>1</v>
      </c>
      <c r="N199" s="10" t="s">
        <v>35</v>
      </c>
    </row>
    <row r="200" customFormat="false" ht="15" hidden="false" customHeight="false" outlineLevel="0" collapsed="false">
      <c r="A200" s="7" t="n">
        <v>199</v>
      </c>
      <c r="B200" s="8" t="s">
        <v>585</v>
      </c>
      <c r="C200" s="9" t="s">
        <v>586</v>
      </c>
      <c r="D200" s="10" t="s">
        <v>30</v>
      </c>
      <c r="E200" s="10" t="n">
        <v>2012</v>
      </c>
      <c r="F200" s="7" t="str">
        <f aca="false">IF(E200="","",IF(E200&lt;1970,"Abyad w eswed",IF(E200&lt;2000,"70s-90s",IF(E200&lt;2015,"2000s","Gedeed"))))</f>
        <v>2000s</v>
      </c>
      <c r="G200" s="10" t="s">
        <v>45</v>
      </c>
      <c r="H200" s="9" t="s">
        <v>32</v>
      </c>
      <c r="I200" s="11" t="s">
        <v>518</v>
      </c>
      <c r="J200" s="11"/>
      <c r="K200" s="11"/>
      <c r="L200" s="12" t="str">
        <f aca="false">IF(B200="","",IF(LEFT(TRIM(B200),2)="ال",MID(TRIM(B200),3,1),LEFT(TRIM(B200),1)))</f>
        <v>ب</v>
      </c>
      <c r="M200" s="7" t="n">
        <f aca="false">IF(B200="","",LEN(TRIM(B200))-LEN(SUBSTITUTE(TRIM(B200)," ",""))+1)</f>
        <v>2</v>
      </c>
      <c r="N200" s="10" t="s">
        <v>35</v>
      </c>
    </row>
    <row r="201" customFormat="false" ht="15" hidden="false" customHeight="false" outlineLevel="0" collapsed="false">
      <c r="A201" s="7" t="n">
        <v>200</v>
      </c>
      <c r="B201" s="8" t="s">
        <v>587</v>
      </c>
      <c r="C201" s="9" t="s">
        <v>588</v>
      </c>
      <c r="D201" s="10" t="s">
        <v>30</v>
      </c>
      <c r="E201" s="10" t="n">
        <v>2012</v>
      </c>
      <c r="F201" s="7" t="str">
        <f aca="false">IF(E201="","",IF(E201&lt;1970,"Abyad w eswed",IF(E201&lt;2000,"70s-90s",IF(E201&lt;2015,"2000s","Gedeed"))))</f>
        <v>2000s</v>
      </c>
      <c r="G201" s="10" t="s">
        <v>45</v>
      </c>
      <c r="H201" s="9" t="s">
        <v>32</v>
      </c>
      <c r="I201" s="11" t="s">
        <v>589</v>
      </c>
      <c r="J201" s="11"/>
      <c r="K201" s="11"/>
      <c r="L201" s="12" t="str">
        <f aca="false">IF(B201="","",IF(LEFT(TRIM(B201),2)="ال",MID(TRIM(B201),3,1),LEFT(TRIM(B201),1)))</f>
        <v>ج</v>
      </c>
      <c r="M201" s="7" t="n">
        <f aca="false">IF(B201="","",LEN(TRIM(B201))-LEN(SUBSTITUTE(TRIM(B201)," ",""))+1)</f>
        <v>2</v>
      </c>
      <c r="N201" s="10" t="s">
        <v>35</v>
      </c>
    </row>
    <row r="202" customFormat="false" ht="15" hidden="false" customHeight="false" outlineLevel="0" collapsed="false">
      <c r="A202" s="7" t="n">
        <v>201</v>
      </c>
      <c r="B202" s="8" t="s">
        <v>590</v>
      </c>
      <c r="C202" s="9" t="s">
        <v>591</v>
      </c>
      <c r="D202" s="10" t="s">
        <v>30</v>
      </c>
      <c r="E202" s="10" t="n">
        <v>2012</v>
      </c>
      <c r="F202" s="7" t="str">
        <f aca="false">IF(E202="","",IF(E202&lt;1970,"Abyad w eswed",IF(E202&lt;2000,"70s-90s",IF(E202&lt;2015,"2000s","Gedeed"))))</f>
        <v>2000s</v>
      </c>
      <c r="G202" s="10" t="s">
        <v>31</v>
      </c>
      <c r="H202" s="9" t="s">
        <v>53</v>
      </c>
      <c r="I202" s="11" t="s">
        <v>592</v>
      </c>
      <c r="J202" s="11"/>
      <c r="K202" s="11"/>
      <c r="L202" s="12" t="str">
        <f aca="false">IF(B202="","",IF(LEFT(TRIM(B202),2)="ال",MID(TRIM(B202),3,1),LEFT(TRIM(B202),1)))</f>
        <v>س</v>
      </c>
      <c r="M202" s="7" t="n">
        <f aca="false">IF(B202="","",LEN(TRIM(B202))-LEN(SUBSTITUTE(TRIM(B202)," ",""))+1)</f>
        <v>2</v>
      </c>
      <c r="N202" s="10" t="s">
        <v>42</v>
      </c>
    </row>
    <row r="203" customFormat="false" ht="15" hidden="false" customHeight="false" outlineLevel="0" collapsed="false">
      <c r="A203" s="7" t="n">
        <v>202</v>
      </c>
      <c r="B203" s="8" t="s">
        <v>593</v>
      </c>
      <c r="C203" s="9" t="s">
        <v>594</v>
      </c>
      <c r="D203" s="10" t="s">
        <v>30</v>
      </c>
      <c r="E203" s="10" t="n">
        <v>2012</v>
      </c>
      <c r="F203" s="7" t="str">
        <f aca="false">IF(E203="","",IF(E203&lt;1970,"Abyad w eswed",IF(E203&lt;2000,"70s-90s",IF(E203&lt;2015,"2000s","Gedeed"))))</f>
        <v>2000s</v>
      </c>
      <c r="G203" s="10" t="s">
        <v>45</v>
      </c>
      <c r="H203" s="9" t="s">
        <v>251</v>
      </c>
      <c r="I203" s="11" t="s">
        <v>582</v>
      </c>
      <c r="J203" s="11" t="s">
        <v>593</v>
      </c>
      <c r="K203" s="11"/>
      <c r="L203" s="12" t="str">
        <f aca="false">IF(B203="","",IF(LEFT(TRIM(B203),2)="ال",MID(TRIM(B203),3,1),LEFT(TRIM(B203),1)))</f>
        <v>ع</v>
      </c>
      <c r="M203" s="7" t="n">
        <f aca="false">IF(B203="","",LEN(TRIM(B203))-LEN(SUBSTITUTE(TRIM(B203)," ",""))+1)</f>
        <v>2</v>
      </c>
      <c r="N203" s="10" t="s">
        <v>35</v>
      </c>
    </row>
    <row r="204" customFormat="false" ht="15" hidden="false" customHeight="false" outlineLevel="0" collapsed="false">
      <c r="A204" s="7" t="n">
        <v>203</v>
      </c>
      <c r="B204" s="8" t="s">
        <v>595</v>
      </c>
      <c r="C204" s="9" t="s">
        <v>596</v>
      </c>
      <c r="D204" s="10" t="s">
        <v>30</v>
      </c>
      <c r="E204" s="10" t="n">
        <v>2013</v>
      </c>
      <c r="F204" s="7" t="str">
        <f aca="false">IF(E204="","",IF(E204&lt;1970,"Abyad w eswed",IF(E204&lt;2000,"70s-90s",IF(E204&lt;2015,"2000s","Gedeed"))))</f>
        <v>2000s</v>
      </c>
      <c r="G204" s="10" t="s">
        <v>45</v>
      </c>
      <c r="H204" s="9" t="s">
        <v>597</v>
      </c>
      <c r="I204" s="11" t="s">
        <v>515</v>
      </c>
      <c r="J204" s="11"/>
      <c r="K204" s="11"/>
      <c r="L204" s="12" t="str">
        <f aca="false">IF(B204="","",IF(LEFT(TRIM(B204),2)="ال",MID(TRIM(B204),3,1),LEFT(TRIM(B204),1)))</f>
        <v>ح</v>
      </c>
      <c r="M204" s="7" t="n">
        <f aca="false">IF(B204="","",LEN(TRIM(B204))-LEN(SUBSTITUTE(TRIM(B204)," ",""))+1)</f>
        <v>1</v>
      </c>
      <c r="N204" s="10" t="s">
        <v>35</v>
      </c>
    </row>
    <row r="205" customFormat="false" ht="15" hidden="false" customHeight="false" outlineLevel="0" collapsed="false">
      <c r="A205" s="7" t="n">
        <v>204</v>
      </c>
      <c r="B205" s="8" t="s">
        <v>598</v>
      </c>
      <c r="C205" s="9" t="s">
        <v>599</v>
      </c>
      <c r="D205" s="10" t="s">
        <v>30</v>
      </c>
      <c r="E205" s="10" t="n">
        <v>2013</v>
      </c>
      <c r="F205" s="7" t="str">
        <f aca="false">IF(E205="","",IF(E205&lt;1970,"Abyad w eswed",IF(E205&lt;2000,"70s-90s",IF(E205&lt;2015,"2000s","Gedeed"))))</f>
        <v>2000s</v>
      </c>
      <c r="G205" s="10" t="s">
        <v>45</v>
      </c>
      <c r="H205" s="9" t="s">
        <v>32</v>
      </c>
      <c r="I205" s="11" t="s">
        <v>495</v>
      </c>
      <c r="J205" s="11" t="s">
        <v>600</v>
      </c>
      <c r="K205" s="11"/>
      <c r="L205" s="12" t="str">
        <f aca="false">IF(B205="","",IF(LEFT(TRIM(B205),2)="ال",MID(TRIM(B205),3,1),LEFT(TRIM(B205),1)))</f>
        <v>س</v>
      </c>
      <c r="M205" s="7" t="n">
        <f aca="false">IF(B205="","",LEN(TRIM(B205))-LEN(SUBSTITUTE(TRIM(B205)," ",""))+1)</f>
        <v>3</v>
      </c>
      <c r="N205" s="10" t="s">
        <v>35</v>
      </c>
    </row>
    <row r="206" customFormat="false" ht="15" hidden="false" customHeight="false" outlineLevel="0" collapsed="false">
      <c r="A206" s="7" t="n">
        <v>205</v>
      </c>
      <c r="B206" s="8" t="s">
        <v>601</v>
      </c>
      <c r="C206" s="9" t="s">
        <v>602</v>
      </c>
      <c r="D206" s="10" t="s">
        <v>30</v>
      </c>
      <c r="E206" s="10" t="n">
        <v>2013</v>
      </c>
      <c r="F206" s="7" t="str">
        <f aca="false">IF(E206="","",IF(E206&lt;1970,"Abyad w eswed",IF(E206&lt;2000,"70s-90s",IF(E206&lt;2015,"2000s","Gedeed"))))</f>
        <v>2000s</v>
      </c>
      <c r="G206" s="10" t="s">
        <v>45</v>
      </c>
      <c r="H206" s="9" t="s">
        <v>32</v>
      </c>
      <c r="I206" s="11" t="s">
        <v>400</v>
      </c>
      <c r="J206" s="11"/>
      <c r="K206" s="11"/>
      <c r="L206" s="12" t="str">
        <f aca="false">IF(B206="","",IF(LEFT(TRIM(B206),2)="ال",MID(TRIM(B206),3,1),LEFT(TRIM(B206),1)))</f>
        <v>ع</v>
      </c>
      <c r="M206" s="7" t="n">
        <f aca="false">IF(B206="","",LEN(TRIM(B206))-LEN(SUBSTITUTE(TRIM(B206)," ",""))+1)</f>
        <v>2</v>
      </c>
      <c r="N206" s="10" t="s">
        <v>35</v>
      </c>
    </row>
    <row r="207" customFormat="false" ht="15" hidden="false" customHeight="false" outlineLevel="0" collapsed="false">
      <c r="A207" s="7" t="n">
        <v>206</v>
      </c>
      <c r="B207" s="8" t="s">
        <v>603</v>
      </c>
      <c r="C207" s="9" t="s">
        <v>604</v>
      </c>
      <c r="D207" s="10" t="s">
        <v>30</v>
      </c>
      <c r="E207" s="10" t="n">
        <v>2013</v>
      </c>
      <c r="F207" s="7" t="str">
        <f aca="false">IF(E207="","",IF(E207&lt;1970,"Abyad w eswed",IF(E207&lt;2000,"70s-90s",IF(E207&lt;2015,"2000s","Gedeed"))))</f>
        <v>2000s</v>
      </c>
      <c r="G207" s="10" t="s">
        <v>45</v>
      </c>
      <c r="H207" s="9" t="s">
        <v>251</v>
      </c>
      <c r="I207" s="11" t="s">
        <v>582</v>
      </c>
      <c r="J207" s="11" t="s">
        <v>220</v>
      </c>
      <c r="K207" s="11"/>
      <c r="L207" s="12" t="str">
        <f aca="false">IF(B207="","",IF(LEFT(TRIM(B207),2)="ال",MID(TRIM(B207),3,1),LEFT(TRIM(B207),1)))</f>
        <v>ق</v>
      </c>
      <c r="M207" s="7" t="n">
        <f aca="false">IF(B207="","",LEN(TRIM(B207))-LEN(SUBSTITUTE(TRIM(B207)," ",""))+1)</f>
        <v>2</v>
      </c>
      <c r="N207" s="10" t="s">
        <v>35</v>
      </c>
    </row>
    <row r="208" customFormat="false" ht="15" hidden="false" customHeight="false" outlineLevel="0" collapsed="false">
      <c r="A208" s="7" t="n">
        <v>207</v>
      </c>
      <c r="B208" s="8" t="s">
        <v>605</v>
      </c>
      <c r="C208" s="9" t="s">
        <v>606</v>
      </c>
      <c r="D208" s="10" t="s">
        <v>30</v>
      </c>
      <c r="E208" s="10" t="n">
        <v>2014</v>
      </c>
      <c r="F208" s="7" t="str">
        <f aca="false">IF(E208="","",IF(E208&lt;1970,"Abyad w eswed",IF(E208&lt;2000,"70s-90s",IF(E208&lt;2015,"2000s","Gedeed"))))</f>
        <v>2000s</v>
      </c>
      <c r="G208" s="10" t="s">
        <v>57</v>
      </c>
      <c r="H208" s="9" t="s">
        <v>32</v>
      </c>
      <c r="I208" s="11" t="s">
        <v>518</v>
      </c>
      <c r="J208" s="11"/>
      <c r="K208" s="11"/>
      <c r="L208" s="12" t="str">
        <f aca="false">IF(B208="","",IF(LEFT(TRIM(B208),2)="ال",MID(TRIM(B208),3,1),LEFT(TRIM(B208),1)))</f>
        <v>ح</v>
      </c>
      <c r="M208" s="7" t="n">
        <f aca="false">IF(B208="","",LEN(TRIM(B208))-LEN(SUBSTITUTE(TRIM(B208)," ",""))+1)</f>
        <v>3</v>
      </c>
      <c r="N208" s="10" t="s">
        <v>35</v>
      </c>
    </row>
    <row r="209" customFormat="false" ht="15" hidden="false" customHeight="false" outlineLevel="0" collapsed="false">
      <c r="A209" s="7" t="n">
        <v>208</v>
      </c>
      <c r="B209" s="8" t="s">
        <v>607</v>
      </c>
      <c r="C209" s="9" t="s">
        <v>608</v>
      </c>
      <c r="D209" s="10" t="s">
        <v>30</v>
      </c>
      <c r="E209" s="10" t="n">
        <v>2014</v>
      </c>
      <c r="F209" s="7" t="str">
        <f aca="false">IF(E209="","",IF(E209&lt;1970,"Abyad w eswed",IF(E209&lt;2000,"70s-90s",IF(E209&lt;2015,"2000s","Gedeed"))))</f>
        <v>2000s</v>
      </c>
      <c r="G209" s="10" t="s">
        <v>57</v>
      </c>
      <c r="H209" s="9" t="s">
        <v>597</v>
      </c>
      <c r="I209" s="11" t="s">
        <v>373</v>
      </c>
      <c r="J209" s="11" t="s">
        <v>609</v>
      </c>
      <c r="K209" s="11"/>
      <c r="L209" s="12" t="str">
        <f aca="false">IF(B209="","",IF(LEFT(TRIM(B209),2)="ال",MID(TRIM(B209),3,1),LEFT(TRIM(B209),1)))</f>
        <v>ف</v>
      </c>
      <c r="M209" s="7" t="n">
        <f aca="false">IF(B209="","",LEN(TRIM(B209))-LEN(SUBSTITUTE(TRIM(B209)," ",""))+1)</f>
        <v>2</v>
      </c>
      <c r="N209" s="10" t="s">
        <v>35</v>
      </c>
    </row>
    <row r="210" customFormat="false" ht="15" hidden="false" customHeight="false" outlineLevel="0" collapsed="false">
      <c r="A210" s="7" t="n">
        <v>209</v>
      </c>
      <c r="B210" s="8" t="s">
        <v>610</v>
      </c>
      <c r="C210" s="9" t="s">
        <v>611</v>
      </c>
      <c r="D210" s="10" t="s">
        <v>30</v>
      </c>
      <c r="E210" s="10" t="n">
        <v>2014</v>
      </c>
      <c r="F210" s="7" t="str">
        <f aca="false">IF(E210="","",IF(E210&lt;1970,"Abyad w eswed",IF(E210&lt;2000,"70s-90s",IF(E210&lt;2015,"2000s","Gedeed"))))</f>
        <v>2000s</v>
      </c>
      <c r="G210" s="10" t="s">
        <v>45</v>
      </c>
      <c r="H210" s="9" t="s">
        <v>32</v>
      </c>
      <c r="I210" s="11" t="s">
        <v>400</v>
      </c>
      <c r="J210" s="11"/>
      <c r="K210" s="11"/>
      <c r="L210" s="12" t="str">
        <f aca="false">IF(B210="","",IF(LEFT(TRIM(B210),2)="ال",MID(TRIM(B210),3,1),LEFT(TRIM(B210),1)))</f>
        <v>ص</v>
      </c>
      <c r="M210" s="7" t="n">
        <f aca="false">IF(B210="","",LEN(TRIM(B210))-LEN(SUBSTITUTE(TRIM(B210)," ",""))+1)</f>
        <v>3</v>
      </c>
      <c r="N210" s="10" t="s">
        <v>35</v>
      </c>
    </row>
    <row r="211" customFormat="false" ht="15" hidden="false" customHeight="false" outlineLevel="0" collapsed="false">
      <c r="A211" s="7" t="n">
        <v>210</v>
      </c>
      <c r="B211" s="8" t="s">
        <v>612</v>
      </c>
      <c r="C211" s="9" t="s">
        <v>613</v>
      </c>
      <c r="D211" s="10" t="s">
        <v>30</v>
      </c>
      <c r="E211" s="10" t="n">
        <v>2014</v>
      </c>
      <c r="F211" s="7" t="str">
        <f aca="false">IF(E211="","",IF(E211&lt;1970,"Abyad w eswed",IF(E211&lt;2000,"70s-90s",IF(E211&lt;2015,"2000s","Gedeed"))))</f>
        <v>2000s</v>
      </c>
      <c r="G211" s="10" t="s">
        <v>31</v>
      </c>
      <c r="H211" s="9" t="s">
        <v>53</v>
      </c>
      <c r="I211" s="11" t="s">
        <v>614</v>
      </c>
      <c r="J211" s="11" t="s">
        <v>615</v>
      </c>
      <c r="K211" s="11"/>
      <c r="L211" s="12" t="str">
        <f aca="false">IF(B211="","",IF(LEFT(TRIM(B211),2)="ال",MID(TRIM(B211),3,1),LEFT(TRIM(B211),1)))</f>
        <v>ف</v>
      </c>
      <c r="M211" s="7" t="n">
        <f aca="false">IF(B211="","",LEN(TRIM(B211))-LEN(SUBSTITUTE(TRIM(B211)," ",""))+1)</f>
        <v>2</v>
      </c>
      <c r="N211" s="10" t="s">
        <v>35</v>
      </c>
    </row>
    <row r="212" customFormat="false" ht="15" hidden="false" customHeight="false" outlineLevel="0" collapsed="false">
      <c r="A212" s="7" t="n">
        <v>211</v>
      </c>
      <c r="B212" s="8" t="s">
        <v>616</v>
      </c>
      <c r="C212" s="9" t="s">
        <v>617</v>
      </c>
      <c r="D212" s="10" t="s">
        <v>30</v>
      </c>
      <c r="E212" s="10" t="n">
        <v>2015</v>
      </c>
      <c r="F212" s="7" t="str">
        <f aca="false">IF(E212="","",IF(E212&lt;1970,"Abyad w eswed",IF(E212&lt;2000,"70s-90s",IF(E212&lt;2015,"2000s","Gedeed"))))</f>
        <v>Gedeed</v>
      </c>
      <c r="G212" s="10" t="s">
        <v>45</v>
      </c>
      <c r="H212" s="9" t="s">
        <v>251</v>
      </c>
      <c r="I212" s="11" t="s">
        <v>582</v>
      </c>
      <c r="J212" s="11"/>
      <c r="K212" s="11"/>
      <c r="L212" s="12" t="str">
        <f aca="false">IF(B212="","",IF(LEFT(TRIM(B212),2)="ال",MID(TRIM(B212),3,1),LEFT(TRIM(B212),1)))</f>
        <v>ش</v>
      </c>
      <c r="M212" s="7" t="n">
        <f aca="false">IF(B212="","",LEN(TRIM(B212))-LEN(SUBSTITUTE(TRIM(B212)," ",""))+1)</f>
        <v>2</v>
      </c>
      <c r="N212" s="10" t="s">
        <v>35</v>
      </c>
    </row>
    <row r="213" customFormat="false" ht="15" hidden="false" customHeight="false" outlineLevel="0" collapsed="false">
      <c r="A213" s="7" t="n">
        <v>212</v>
      </c>
      <c r="B213" s="8" t="s">
        <v>618</v>
      </c>
      <c r="C213" s="9" t="s">
        <v>619</v>
      </c>
      <c r="D213" s="10" t="s">
        <v>30</v>
      </c>
      <c r="E213" s="10" t="n">
        <v>2015</v>
      </c>
      <c r="F213" s="7" t="str">
        <f aca="false">IF(E213="","",IF(E213&lt;1970,"Abyad w eswed",IF(E213&lt;2000,"70s-90s",IF(E213&lt;2015,"2000s","Gedeed"))))</f>
        <v>Gedeed</v>
      </c>
      <c r="G213" s="10" t="s">
        <v>45</v>
      </c>
      <c r="H213" s="9" t="s">
        <v>32</v>
      </c>
      <c r="I213" s="11" t="s">
        <v>620</v>
      </c>
      <c r="J213" s="11"/>
      <c r="K213" s="11"/>
      <c r="L213" s="12" t="str">
        <f aca="false">IF(B213="","",IF(LEFT(TRIM(B213),2)="ال",MID(TRIM(B213),3,1),LEFT(TRIM(B213),1)))</f>
        <v>ك</v>
      </c>
      <c r="M213" s="7" t="n">
        <f aca="false">IF(B213="","",LEN(TRIM(B213))-LEN(SUBSTITUTE(TRIM(B213)," ",""))+1)</f>
        <v>2</v>
      </c>
      <c r="N213" s="10" t="s">
        <v>35</v>
      </c>
    </row>
    <row r="214" customFormat="false" ht="15" hidden="false" customHeight="false" outlineLevel="0" collapsed="false">
      <c r="A214" s="7" t="n">
        <v>213</v>
      </c>
      <c r="B214" s="8" t="s">
        <v>621</v>
      </c>
      <c r="C214" s="9" t="s">
        <v>622</v>
      </c>
      <c r="D214" s="10" t="s">
        <v>30</v>
      </c>
      <c r="E214" s="10" t="n">
        <v>2015</v>
      </c>
      <c r="F214" s="7" t="str">
        <f aca="false">IF(E214="","",IF(E214&lt;1970,"Abyad w eswed",IF(E214&lt;2000,"70s-90s",IF(E214&lt;2015,"2000s","Gedeed"))))</f>
        <v>Gedeed</v>
      </c>
      <c r="G214" s="10" t="s">
        <v>57</v>
      </c>
      <c r="H214" s="9" t="s">
        <v>251</v>
      </c>
      <c r="I214" s="11" t="s">
        <v>515</v>
      </c>
      <c r="J214" s="11"/>
      <c r="K214" s="11"/>
      <c r="L214" s="12" t="str">
        <f aca="false">IF(B214="","",IF(LEFT(TRIM(B214),2)="ال",MID(TRIM(B214),3,1),LEFT(TRIM(B214),1)))</f>
        <v>و</v>
      </c>
      <c r="M214" s="7" t="n">
        <f aca="false">IF(B214="","",LEN(TRIM(B214))-LEN(SUBSTITUTE(TRIM(B214)," ",""))+1)</f>
        <v>2</v>
      </c>
      <c r="N214" s="10" t="s">
        <v>35</v>
      </c>
    </row>
    <row r="215" customFormat="false" ht="15" hidden="false" customHeight="false" outlineLevel="0" collapsed="false">
      <c r="A215" s="7" t="n">
        <v>214</v>
      </c>
      <c r="B215" s="8" t="s">
        <v>623</v>
      </c>
      <c r="C215" s="9" t="s">
        <v>624</v>
      </c>
      <c r="D215" s="10" t="s">
        <v>30</v>
      </c>
      <c r="E215" s="10" t="n">
        <v>2016</v>
      </c>
      <c r="F215" s="7" t="str">
        <f aca="false">IF(E215="","",IF(E215&lt;1970,"Abyad w eswed",IF(E215&lt;2000,"70s-90s",IF(E215&lt;2015,"2000s","Gedeed"))))</f>
        <v>Gedeed</v>
      </c>
      <c r="G215" s="10" t="s">
        <v>31</v>
      </c>
      <c r="H215" s="9" t="s">
        <v>53</v>
      </c>
      <c r="I215" s="11" t="s">
        <v>625</v>
      </c>
      <c r="J215" s="11"/>
      <c r="K215" s="11"/>
      <c r="L215" s="12" t="str">
        <f aca="false">IF(B215="","",IF(LEFT(TRIM(B215),2)="ال",MID(TRIM(B215),3,1),LEFT(TRIM(B215),1)))</f>
        <v>ا</v>
      </c>
      <c r="M215" s="7" t="n">
        <f aca="false">IF(B215="","",LEN(TRIM(B215))-LEN(SUBSTITUTE(TRIM(B215)," ",""))+1)</f>
        <v>1</v>
      </c>
      <c r="N215" s="10" t="s">
        <v>35</v>
      </c>
    </row>
    <row r="216" customFormat="false" ht="15" hidden="false" customHeight="false" outlineLevel="0" collapsed="false">
      <c r="A216" s="7" t="n">
        <v>215</v>
      </c>
      <c r="B216" s="8" t="s">
        <v>626</v>
      </c>
      <c r="C216" s="9" t="s">
        <v>627</v>
      </c>
      <c r="D216" s="10" t="s">
        <v>30</v>
      </c>
      <c r="E216" s="10" t="n">
        <v>2016</v>
      </c>
      <c r="F216" s="7" t="str">
        <f aca="false">IF(E216="","",IF(E216&lt;1970,"Abyad w eswed",IF(E216&lt;2000,"70s-90s",IF(E216&lt;2015,"2000s","Gedeed"))))</f>
        <v>Gedeed</v>
      </c>
      <c r="G216" s="10" t="s">
        <v>45</v>
      </c>
      <c r="H216" s="9" t="s">
        <v>32</v>
      </c>
      <c r="I216" s="11" t="s">
        <v>628</v>
      </c>
      <c r="J216" s="11"/>
      <c r="K216" s="11"/>
      <c r="L216" s="12" t="str">
        <f aca="false">IF(B216="","",IF(LEFT(TRIM(B216),2)="ال",MID(TRIM(B216),3,1),LEFT(TRIM(B216),1)))</f>
        <v>ح</v>
      </c>
      <c r="M216" s="7" t="n">
        <f aca="false">IF(B216="","",LEN(TRIM(B216))-LEN(SUBSTITUTE(TRIM(B216)," ",""))+1)</f>
        <v>2</v>
      </c>
      <c r="N216" s="10" t="s">
        <v>35</v>
      </c>
    </row>
    <row r="217" customFormat="false" ht="15" hidden="false" customHeight="false" outlineLevel="0" collapsed="false">
      <c r="A217" s="7" t="n">
        <v>216</v>
      </c>
      <c r="B217" s="8" t="s">
        <v>629</v>
      </c>
      <c r="C217" s="9" t="s">
        <v>630</v>
      </c>
      <c r="D217" s="10" t="s">
        <v>30</v>
      </c>
      <c r="E217" s="10" t="n">
        <v>2016</v>
      </c>
      <c r="F217" s="7" t="str">
        <f aca="false">IF(E217="","",IF(E217&lt;1970,"Abyad w eswed",IF(E217&lt;2000,"70s-90s",IF(E217&lt;2015,"2000s","Gedeed"))))</f>
        <v>Gedeed</v>
      </c>
      <c r="G217" s="10" t="s">
        <v>45</v>
      </c>
      <c r="H217" s="9" t="s">
        <v>32</v>
      </c>
      <c r="I217" s="11" t="s">
        <v>400</v>
      </c>
      <c r="J217" s="11"/>
      <c r="K217" s="11"/>
      <c r="L217" s="12" t="str">
        <f aca="false">IF(B217="","",IF(LEFT(TRIM(B217),2)="ال",MID(TRIM(B217),3,1),LEFT(TRIM(B217),1)))</f>
        <v>ل</v>
      </c>
      <c r="M217" s="7" t="n">
        <f aca="false">IF(B217="","",LEN(TRIM(B217))-LEN(SUBSTITUTE(TRIM(B217)," ",""))+1)</f>
        <v>2</v>
      </c>
      <c r="N217" s="10" t="s">
        <v>35</v>
      </c>
    </row>
    <row r="218" customFormat="false" ht="15" hidden="false" customHeight="false" outlineLevel="0" collapsed="false">
      <c r="A218" s="7" t="n">
        <v>217</v>
      </c>
      <c r="B218" s="8" t="s">
        <v>631</v>
      </c>
      <c r="C218" s="9" t="s">
        <v>632</v>
      </c>
      <c r="D218" s="10" t="s">
        <v>30</v>
      </c>
      <c r="E218" s="10" t="n">
        <v>2016</v>
      </c>
      <c r="F218" s="7" t="str">
        <f aca="false">IF(E218="","",IF(E218&lt;1970,"Abyad w eswed",IF(E218&lt;2000,"70s-90s",IF(E218&lt;2015,"2000s","Gedeed"))))</f>
        <v>Gedeed</v>
      </c>
      <c r="G218" s="10" t="s">
        <v>45</v>
      </c>
      <c r="H218" s="9" t="s">
        <v>68</v>
      </c>
      <c r="I218" s="11" t="s">
        <v>633</v>
      </c>
      <c r="J218" s="11"/>
      <c r="K218" s="11"/>
      <c r="L218" s="12" t="str">
        <f aca="false">IF(B218="","",IF(LEFT(TRIM(B218),2)="ال",MID(TRIM(B218),3,1),LEFT(TRIM(B218),1)))</f>
        <v>ه</v>
      </c>
      <c r="M218" s="7" t="n">
        <f aca="false">IF(B218="","",LEN(TRIM(B218))-LEN(SUBSTITUTE(TRIM(B218)," ",""))+1)</f>
        <v>1</v>
      </c>
      <c r="N218" s="10" t="s">
        <v>35</v>
      </c>
    </row>
    <row r="219" customFormat="false" ht="15" hidden="false" customHeight="false" outlineLevel="0" collapsed="false">
      <c r="A219" s="7" t="n">
        <v>218</v>
      </c>
      <c r="B219" s="8" t="s">
        <v>634</v>
      </c>
      <c r="C219" s="9" t="s">
        <v>635</v>
      </c>
      <c r="D219" s="10" t="s">
        <v>30</v>
      </c>
      <c r="E219" s="10" t="n">
        <v>2017</v>
      </c>
      <c r="F219" s="7" t="str">
        <f aca="false">IF(E219="","",IF(E219&lt;1970,"Abyad w eswed",IF(E219&lt;2000,"70s-90s",IF(E219&lt;2015,"2000s","Gedeed"))))</f>
        <v>Gedeed</v>
      </c>
      <c r="G219" s="10" t="s">
        <v>31</v>
      </c>
      <c r="H219" s="9" t="s">
        <v>597</v>
      </c>
      <c r="I219" s="11" t="s">
        <v>636</v>
      </c>
      <c r="J219" s="11"/>
      <c r="K219" s="11"/>
      <c r="L219" s="12" t="str">
        <f aca="false">IF(B219="","",IF(LEFT(TRIM(B219),2)="ال",MID(TRIM(B219),3,1),LEFT(TRIM(B219),1)))</f>
        <v>أ</v>
      </c>
      <c r="M219" s="7" t="n">
        <f aca="false">IF(B219="","",LEN(TRIM(B219))-LEN(SUBSTITUTE(TRIM(B219)," ",""))+1)</f>
        <v>1</v>
      </c>
      <c r="N219" s="10" t="s">
        <v>42</v>
      </c>
    </row>
    <row r="220" customFormat="false" ht="15" hidden="false" customHeight="false" outlineLevel="0" collapsed="false">
      <c r="A220" s="7" t="n">
        <v>219</v>
      </c>
      <c r="B220" s="8" t="s">
        <v>637</v>
      </c>
      <c r="C220" s="9" t="s">
        <v>638</v>
      </c>
      <c r="D220" s="10" t="s">
        <v>30</v>
      </c>
      <c r="E220" s="10" t="n">
        <v>2017</v>
      </c>
      <c r="F220" s="7" t="str">
        <f aca="false">IF(E220="","",IF(E220&lt;1970,"Abyad w eswed",IF(E220&lt;2000,"70s-90s",IF(E220&lt;2015,"2000s","Gedeed"))))</f>
        <v>Gedeed</v>
      </c>
      <c r="G220" s="10" t="s">
        <v>45</v>
      </c>
      <c r="H220" s="9" t="s">
        <v>251</v>
      </c>
      <c r="I220" s="11" t="s">
        <v>515</v>
      </c>
      <c r="J220" s="11"/>
      <c r="K220" s="11"/>
      <c r="L220" s="12" t="str">
        <f aca="false">IF(B220="","",IF(LEFT(TRIM(B220),2)="ال",MID(TRIM(B220),3,1),LEFT(TRIM(B220),1)))</f>
        <v>خ</v>
      </c>
      <c r="M220" s="7" t="n">
        <f aca="false">IF(B220="","",LEN(TRIM(B220))-LEN(SUBSTITUTE(TRIM(B220)," ",""))+1)</f>
        <v>1</v>
      </c>
      <c r="N220" s="10" t="s">
        <v>35</v>
      </c>
    </row>
    <row r="221" customFormat="false" ht="15" hidden="false" customHeight="false" outlineLevel="0" collapsed="false">
      <c r="A221" s="7" t="n">
        <v>220</v>
      </c>
      <c r="B221" s="8" t="s">
        <v>639</v>
      </c>
      <c r="C221" s="9" t="s">
        <v>640</v>
      </c>
      <c r="D221" s="10" t="s">
        <v>30</v>
      </c>
      <c r="E221" s="10" t="n">
        <v>2017</v>
      </c>
      <c r="F221" s="7" t="str">
        <f aca="false">IF(E221="","",IF(E221&lt;1970,"Abyad w eswed",IF(E221&lt;2000,"70s-90s",IF(E221&lt;2015,"2000s","Gedeed"))))</f>
        <v>Gedeed</v>
      </c>
      <c r="G221" s="10" t="s">
        <v>45</v>
      </c>
      <c r="H221" s="9" t="s">
        <v>251</v>
      </c>
      <c r="I221" s="11" t="s">
        <v>348</v>
      </c>
      <c r="J221" s="11"/>
      <c r="K221" s="11"/>
      <c r="L221" s="12" t="str">
        <f aca="false">IF(B221="","",IF(LEFT(TRIM(B221),2)="ال",MID(TRIM(B221),3,1),LEFT(TRIM(B221),1)))</f>
        <v>ه</v>
      </c>
      <c r="M221" s="7" t="n">
        <f aca="false">IF(B221="","",LEN(TRIM(B221))-LEN(SUBSTITUTE(TRIM(B221)," ",""))+1)</f>
        <v>2</v>
      </c>
      <c r="N221" s="10" t="s">
        <v>35</v>
      </c>
    </row>
    <row r="222" customFormat="false" ht="15" hidden="false" customHeight="false" outlineLevel="0" collapsed="false">
      <c r="A222" s="7" t="n">
        <v>221</v>
      </c>
      <c r="B222" s="8" t="s">
        <v>641</v>
      </c>
      <c r="C222" s="9" t="s">
        <v>642</v>
      </c>
      <c r="D222" s="10" t="s">
        <v>30</v>
      </c>
      <c r="E222" s="10" t="n">
        <v>2018</v>
      </c>
      <c r="F222" s="7" t="str">
        <f aca="false">IF(E222="","",IF(E222&lt;1970,"Abyad w eswed",IF(E222&lt;2000,"70s-90s",IF(E222&lt;2015,"2000s","Gedeed"))))</f>
        <v>Gedeed</v>
      </c>
      <c r="G222" s="10" t="s">
        <v>57</v>
      </c>
      <c r="H222" s="9" t="s">
        <v>32</v>
      </c>
      <c r="I222" s="11" t="s">
        <v>439</v>
      </c>
      <c r="J222" s="11"/>
      <c r="K222" s="11"/>
      <c r="L222" s="12" t="str">
        <f aca="false">IF(B222="","",IF(LEFT(TRIM(B222),2)="ال",MID(TRIM(B222),3,1),LEFT(TRIM(B222),1)))</f>
        <v>ب</v>
      </c>
      <c r="M222" s="7" t="n">
        <f aca="false">IF(B222="","",LEN(TRIM(B222))-LEN(SUBSTITUTE(TRIM(B222)," ",""))+1)</f>
        <v>1</v>
      </c>
      <c r="N222" s="10" t="s">
        <v>35</v>
      </c>
    </row>
    <row r="223" customFormat="false" ht="15" hidden="false" customHeight="false" outlineLevel="0" collapsed="false">
      <c r="A223" s="7" t="n">
        <v>222</v>
      </c>
      <c r="B223" s="8" t="s">
        <v>643</v>
      </c>
      <c r="C223" s="9" t="s">
        <v>644</v>
      </c>
      <c r="D223" s="10" t="s">
        <v>30</v>
      </c>
      <c r="E223" s="10" t="n">
        <v>2018</v>
      </c>
      <c r="F223" s="7" t="str">
        <f aca="false">IF(E223="","",IF(E223&lt;1970,"Abyad w eswed",IF(E223&lt;2000,"70s-90s",IF(E223&lt;2015,"2000s","Gedeed"))))</f>
        <v>Gedeed</v>
      </c>
      <c r="G223" s="10" t="s">
        <v>45</v>
      </c>
      <c r="H223" s="9" t="s">
        <v>597</v>
      </c>
      <c r="I223" s="11" t="s">
        <v>645</v>
      </c>
      <c r="J223" s="11" t="s">
        <v>646</v>
      </c>
      <c r="K223" s="11"/>
      <c r="L223" s="12" t="str">
        <f aca="false">IF(B223="","",IF(LEFT(TRIM(B223),2)="ال",MID(TRIM(B223),3,1),LEFT(TRIM(B223),1)))</f>
        <v>ت</v>
      </c>
      <c r="M223" s="7" t="n">
        <f aca="false">IF(B223="","",LEN(TRIM(B223))-LEN(SUBSTITUTE(TRIM(B223)," ",""))+1)</f>
        <v>2</v>
      </c>
      <c r="N223" s="10" t="s">
        <v>35</v>
      </c>
    </row>
    <row r="224" customFormat="false" ht="15" hidden="false" customHeight="false" outlineLevel="0" collapsed="false">
      <c r="A224" s="7" t="n">
        <v>223</v>
      </c>
      <c r="B224" s="8" t="s">
        <v>647</v>
      </c>
      <c r="C224" s="9" t="s">
        <v>648</v>
      </c>
      <c r="D224" s="10" t="s">
        <v>30</v>
      </c>
      <c r="E224" s="10" t="n">
        <v>2018</v>
      </c>
      <c r="F224" s="7" t="str">
        <f aca="false">IF(E224="","",IF(E224&lt;1970,"Abyad w eswed",IF(E224&lt;2000,"70s-90s",IF(E224&lt;2015,"2000s","Gedeed"))))</f>
        <v>Gedeed</v>
      </c>
      <c r="G224" s="10" t="s">
        <v>45</v>
      </c>
      <c r="H224" s="9" t="s">
        <v>251</v>
      </c>
      <c r="I224" s="11" t="s">
        <v>582</v>
      </c>
      <c r="J224" s="11"/>
      <c r="K224" s="11"/>
      <c r="L224" s="12" t="str">
        <f aca="false">IF(B224="","",IF(LEFT(TRIM(B224),2)="ال",MID(TRIM(B224),3,1),LEFT(TRIM(B224),1)))</f>
        <v>د</v>
      </c>
      <c r="M224" s="7" t="n">
        <f aca="false">IF(B224="","",LEN(TRIM(B224))-LEN(SUBSTITUTE(TRIM(B224)," ",""))+1)</f>
        <v>1</v>
      </c>
      <c r="N224" s="10" t="s">
        <v>35</v>
      </c>
    </row>
    <row r="225" customFormat="false" ht="15" hidden="false" customHeight="false" outlineLevel="0" collapsed="false">
      <c r="A225" s="7" t="n">
        <v>224</v>
      </c>
      <c r="B225" s="8" t="s">
        <v>649</v>
      </c>
      <c r="C225" s="9" t="s">
        <v>650</v>
      </c>
      <c r="D225" s="10" t="s">
        <v>30</v>
      </c>
      <c r="E225" s="10" t="n">
        <v>2018</v>
      </c>
      <c r="F225" s="7" t="str">
        <f aca="false">IF(E225="","",IF(E225&lt;1970,"Abyad w eswed",IF(E225&lt;2000,"70s-90s",IF(E225&lt;2015,"2000s","Gedeed"))))</f>
        <v>Gedeed</v>
      </c>
      <c r="G225" s="10" t="s">
        <v>31</v>
      </c>
      <c r="H225" s="9" t="s">
        <v>53</v>
      </c>
      <c r="I225" s="11" t="s">
        <v>651</v>
      </c>
      <c r="J225" s="11" t="s">
        <v>652</v>
      </c>
      <c r="K225" s="11"/>
      <c r="L225" s="12" t="str">
        <f aca="false">IF(B225="","",IF(LEFT(TRIM(B225),2)="ال",MID(TRIM(B225),3,1),LEFT(TRIM(B225),1)))</f>
        <v>ي</v>
      </c>
      <c r="M225" s="7" t="n">
        <f aca="false">IF(B225="","",LEN(TRIM(B225))-LEN(SUBSTITUTE(TRIM(B225)," ",""))+1)</f>
        <v>2</v>
      </c>
      <c r="N225" s="10" t="s">
        <v>35</v>
      </c>
    </row>
    <row r="226" customFormat="false" ht="15" hidden="false" customHeight="false" outlineLevel="0" collapsed="false">
      <c r="A226" s="7" t="n">
        <v>225</v>
      </c>
      <c r="B226" s="8" t="s">
        <v>653</v>
      </c>
      <c r="C226" s="9" t="s">
        <v>654</v>
      </c>
      <c r="D226" s="10" t="s">
        <v>30</v>
      </c>
      <c r="E226" s="10" t="n">
        <v>2019</v>
      </c>
      <c r="F226" s="7" t="str">
        <f aca="false">IF(E226="","",IF(E226&lt;1970,"Abyad w eswed",IF(E226&lt;2000,"70s-90s",IF(E226&lt;2015,"2000s","Gedeed"))))</f>
        <v>Gedeed</v>
      </c>
      <c r="G226" s="10" t="s">
        <v>45</v>
      </c>
      <c r="H226" s="9" t="s">
        <v>226</v>
      </c>
      <c r="I226" s="11" t="s">
        <v>373</v>
      </c>
      <c r="J226" s="11" t="s">
        <v>609</v>
      </c>
      <c r="K226" s="11"/>
      <c r="L226" s="12" t="str">
        <f aca="false">IF(B226="","",IF(LEFT(TRIM(B226),2)="ال",MID(TRIM(B226),3,1),LEFT(TRIM(B226),1)))</f>
        <v>ف</v>
      </c>
      <c r="M226" s="7" t="n">
        <f aca="false">IF(B226="","",LEN(TRIM(B226))-LEN(SUBSTITUTE(TRIM(B226)," ",""))+1)</f>
        <v>3</v>
      </c>
      <c r="N226" s="10" t="s">
        <v>35</v>
      </c>
    </row>
    <row r="227" customFormat="false" ht="15" hidden="false" customHeight="false" outlineLevel="0" collapsed="false">
      <c r="A227" s="7" t="n">
        <v>226</v>
      </c>
      <c r="B227" s="8" t="s">
        <v>655</v>
      </c>
      <c r="C227" s="9" t="s">
        <v>656</v>
      </c>
      <c r="D227" s="10" t="s">
        <v>30</v>
      </c>
      <c r="E227" s="10" t="n">
        <v>2019</v>
      </c>
      <c r="F227" s="7" t="str">
        <f aca="false">IF(E227="","",IF(E227&lt;1970,"Abyad w eswed",IF(E227&lt;2000,"70s-90s",IF(E227&lt;2015,"2000s","Gedeed"))))</f>
        <v>Gedeed</v>
      </c>
      <c r="G227" s="10" t="s">
        <v>45</v>
      </c>
      <c r="H227" s="9" t="s">
        <v>251</v>
      </c>
      <c r="I227" s="11" t="s">
        <v>515</v>
      </c>
      <c r="J227" s="11"/>
      <c r="K227" s="11"/>
      <c r="L227" s="12" t="str">
        <f aca="false">IF(B227="","",IF(LEFT(TRIM(B227),2)="ال",MID(TRIM(B227),3,1),LEFT(TRIM(B227),1)))</f>
        <v>م</v>
      </c>
      <c r="M227" s="7" t="n">
        <f aca="false">IF(B227="","",LEN(TRIM(B227))-LEN(SUBSTITUTE(TRIM(B227)," ",""))+1)</f>
        <v>1</v>
      </c>
      <c r="N227" s="10" t="s">
        <v>35</v>
      </c>
    </row>
    <row r="228" customFormat="false" ht="15" hidden="false" customHeight="false" outlineLevel="0" collapsed="false">
      <c r="A228" s="7" t="n">
        <v>227</v>
      </c>
      <c r="B228" s="8" t="s">
        <v>657</v>
      </c>
      <c r="C228" s="9" t="s">
        <v>658</v>
      </c>
      <c r="D228" s="10" t="s">
        <v>30</v>
      </c>
      <c r="E228" s="10" t="n">
        <v>2019</v>
      </c>
      <c r="F228" s="7" t="str">
        <f aca="false">IF(E228="","",IF(E228&lt;1970,"Abyad w eswed",IF(E228&lt;2000,"70s-90s",IF(E228&lt;2015,"2000s","Gedeed"))))</f>
        <v>Gedeed</v>
      </c>
      <c r="G228" s="10" t="s">
        <v>45</v>
      </c>
      <c r="H228" s="9" t="s">
        <v>32</v>
      </c>
      <c r="I228" s="11" t="s">
        <v>400</v>
      </c>
      <c r="J228" s="11"/>
      <c r="K228" s="11"/>
      <c r="L228" s="12" t="str">
        <f aca="false">IF(B228="","",IF(LEFT(TRIM(B228),2)="ال",MID(TRIM(B228),3,1),LEFT(TRIM(B228),1)))</f>
        <v>خ</v>
      </c>
      <c r="M228" s="7" t="n">
        <f aca="false">IF(B228="","",LEN(TRIM(B228))-LEN(SUBSTITUTE(TRIM(B228)," ",""))+1)</f>
        <v>2</v>
      </c>
      <c r="N228" s="10" t="s">
        <v>35</v>
      </c>
    </row>
    <row r="229" customFormat="false" ht="15" hidden="false" customHeight="false" outlineLevel="0" collapsed="false">
      <c r="A229" s="7" t="n">
        <v>228</v>
      </c>
      <c r="B229" s="8" t="s">
        <v>659</v>
      </c>
      <c r="C229" s="9" t="s">
        <v>660</v>
      </c>
      <c r="D229" s="10" t="s">
        <v>30</v>
      </c>
      <c r="E229" s="10" t="n">
        <v>2019</v>
      </c>
      <c r="F229" s="7" t="str">
        <f aca="false">IF(E229="","",IF(E229&lt;1970,"Abyad w eswed",IF(E229&lt;2000,"70s-90s",IF(E229&lt;2015,"2000s","Gedeed"))))</f>
        <v>Gedeed</v>
      </c>
      <c r="G229" s="10" t="s">
        <v>45</v>
      </c>
      <c r="H229" s="9" t="s">
        <v>251</v>
      </c>
      <c r="I229" s="11" t="s">
        <v>661</v>
      </c>
      <c r="J229" s="11"/>
      <c r="K229" s="11"/>
      <c r="L229" s="12" t="str">
        <f aca="false">IF(B229="","",IF(LEFT(TRIM(B229),2)="ال",MID(TRIM(B229),3,1),LEFT(TRIM(B229),1)))</f>
        <v>ك</v>
      </c>
      <c r="M229" s="7" t="n">
        <f aca="false">IF(B229="","",LEN(TRIM(B229))-LEN(SUBSTITUTE(TRIM(B229)," ",""))+1)</f>
        <v>1</v>
      </c>
      <c r="N229" s="10" t="s">
        <v>35</v>
      </c>
    </row>
    <row r="230" customFormat="false" ht="15" hidden="false" customHeight="false" outlineLevel="0" collapsed="false">
      <c r="A230" s="7" t="n">
        <v>229</v>
      </c>
      <c r="B230" s="8" t="s">
        <v>662</v>
      </c>
      <c r="C230" s="9" t="s">
        <v>663</v>
      </c>
      <c r="D230" s="10" t="s">
        <v>30</v>
      </c>
      <c r="E230" s="10" t="n">
        <v>2019</v>
      </c>
      <c r="F230" s="7" t="str">
        <f aca="false">IF(E230="","",IF(E230&lt;1970,"Abyad w eswed",IF(E230&lt;2000,"70s-90s",IF(E230&lt;2015,"2000s","Gedeed"))))</f>
        <v>Gedeed</v>
      </c>
      <c r="G230" s="10" t="s">
        <v>45</v>
      </c>
      <c r="H230" s="9" t="s">
        <v>32</v>
      </c>
      <c r="I230" s="11" t="s">
        <v>373</v>
      </c>
      <c r="J230" s="11"/>
      <c r="K230" s="11"/>
      <c r="L230" s="12" t="str">
        <f aca="false">IF(B230="","",IF(LEFT(TRIM(B230),2)="ال",MID(TRIM(B230),3,1),LEFT(TRIM(B230),1)))</f>
        <v>ن</v>
      </c>
      <c r="M230" s="7" t="n">
        <f aca="false">IF(B230="","",LEN(TRIM(B230))-LEN(SUBSTITUTE(TRIM(B230)," ",""))+1)</f>
        <v>3</v>
      </c>
      <c r="N230" s="10" t="s">
        <v>35</v>
      </c>
    </row>
    <row r="231" customFormat="false" ht="15" hidden="false" customHeight="false" outlineLevel="0" collapsed="false">
      <c r="A231" s="7" t="n">
        <v>230</v>
      </c>
      <c r="B231" s="8" t="s">
        <v>664</v>
      </c>
      <c r="C231" s="9" t="s">
        <v>665</v>
      </c>
      <c r="D231" s="10" t="s">
        <v>30</v>
      </c>
      <c r="E231" s="10" t="n">
        <v>2020</v>
      </c>
      <c r="F231" s="7" t="str">
        <f aca="false">IF(E231="","",IF(E231&lt;1970,"Abyad w eswed",IF(E231&lt;2000,"70s-90s",IF(E231&lt;2015,"2000s","Gedeed"))))</f>
        <v>Gedeed</v>
      </c>
      <c r="G231" s="10" t="s">
        <v>45</v>
      </c>
      <c r="H231" s="9" t="s">
        <v>251</v>
      </c>
      <c r="I231" s="11" t="s">
        <v>620</v>
      </c>
      <c r="J231" s="11"/>
      <c r="K231" s="11"/>
      <c r="L231" s="12" t="str">
        <f aca="false">IF(B231="","",IF(LEFT(TRIM(B231),2)="ال",MID(TRIM(B231),3,1),LEFT(TRIM(B231),1)))</f>
        <v>ل</v>
      </c>
      <c r="M231" s="7" t="n">
        <f aca="false">IF(B231="","",LEN(TRIM(B231))-LEN(SUBSTITUTE(TRIM(B231)," ",""))+1)</f>
        <v>2</v>
      </c>
      <c r="N231" s="10" t="s">
        <v>35</v>
      </c>
    </row>
    <row r="232" customFormat="false" ht="15" hidden="false" customHeight="false" outlineLevel="0" collapsed="false">
      <c r="A232" s="7" t="n">
        <v>231</v>
      </c>
      <c r="B232" s="8" t="s">
        <v>666</v>
      </c>
      <c r="C232" s="9" t="s">
        <v>667</v>
      </c>
      <c r="D232" s="10" t="s">
        <v>30</v>
      </c>
      <c r="E232" s="10" t="n">
        <v>2021</v>
      </c>
      <c r="F232" s="7" t="str">
        <f aca="false">IF(E232="","",IF(E232&lt;1970,"Abyad w eswed",IF(E232&lt;2000,"70s-90s",IF(E232&lt;2015,"2000s","Gedeed"))))</f>
        <v>Gedeed</v>
      </c>
      <c r="G232" s="10" t="s">
        <v>45</v>
      </c>
      <c r="H232" s="9" t="s">
        <v>32</v>
      </c>
      <c r="I232" s="11" t="s">
        <v>439</v>
      </c>
      <c r="J232" s="11"/>
      <c r="K232" s="11"/>
      <c r="L232" s="12" t="str">
        <f aca="false">IF(B232="","",IF(LEFT(TRIM(B232),2)="ال",MID(TRIM(B232),3,1),LEFT(TRIM(B232),1)))</f>
        <v>م</v>
      </c>
      <c r="M232" s="7" t="n">
        <f aca="false">IF(B232="","",LEN(TRIM(B232))-LEN(SUBSTITUTE(TRIM(B232)," ",""))+1)</f>
        <v>2</v>
      </c>
      <c r="N232" s="10" t="s">
        <v>35</v>
      </c>
    </row>
    <row r="233" customFormat="false" ht="15" hidden="false" customHeight="false" outlineLevel="0" collapsed="false">
      <c r="A233" s="7" t="n">
        <v>232</v>
      </c>
      <c r="B233" s="8" t="s">
        <v>668</v>
      </c>
      <c r="C233" s="9" t="s">
        <v>669</v>
      </c>
      <c r="D233" s="10" t="s">
        <v>30</v>
      </c>
      <c r="E233" s="10" t="n">
        <v>2022</v>
      </c>
      <c r="F233" s="7" t="str">
        <f aca="false">IF(E233="","",IF(E233&lt;1970,"Abyad w eswed",IF(E233&lt;2000,"70s-90s",IF(E233&lt;2015,"2000s","Gedeed"))))</f>
        <v>Gedeed</v>
      </c>
      <c r="G233" s="10" t="s">
        <v>45</v>
      </c>
      <c r="H233" s="9" t="s">
        <v>68</v>
      </c>
      <c r="I233" s="11" t="s">
        <v>439</v>
      </c>
      <c r="J233" s="11"/>
      <c r="K233" s="11"/>
      <c r="L233" s="12" t="str">
        <f aca="false">IF(B233="","",IF(LEFT(TRIM(B233),2)="ال",MID(TRIM(B233),3,1),LEFT(TRIM(B233),1)))</f>
        <v>ب</v>
      </c>
      <c r="M233" s="7" t="n">
        <f aca="false">IF(B233="","",LEN(TRIM(B233))-LEN(SUBSTITUTE(TRIM(B233)," ",""))+1)</f>
        <v>1</v>
      </c>
      <c r="N233" s="10" t="s">
        <v>35</v>
      </c>
    </row>
    <row r="234" customFormat="false" ht="15" hidden="false" customHeight="false" outlineLevel="0" collapsed="false">
      <c r="A234" s="7" t="n">
        <v>233</v>
      </c>
      <c r="B234" s="8" t="s">
        <v>670</v>
      </c>
      <c r="C234" s="9" t="s">
        <v>671</v>
      </c>
      <c r="D234" s="10" t="s">
        <v>30</v>
      </c>
      <c r="E234" s="10" t="n">
        <v>2022</v>
      </c>
      <c r="F234" s="7" t="str">
        <f aca="false">IF(E234="","",IF(E234&lt;1970,"Abyad w eswed",IF(E234&lt;2000,"70s-90s",IF(E234&lt;2015,"2000s","Gedeed"))))</f>
        <v>Gedeed</v>
      </c>
      <c r="G234" s="10" t="s">
        <v>45</v>
      </c>
      <c r="H234" s="9" t="s">
        <v>114</v>
      </c>
      <c r="I234" s="11" t="s">
        <v>373</v>
      </c>
      <c r="J234" s="11" t="s">
        <v>672</v>
      </c>
      <c r="K234" s="11"/>
      <c r="L234" s="12" t="str">
        <f aca="false">IF(B234="","",IF(LEFT(TRIM(B234),2)="ال",MID(TRIM(B234),3,1),LEFT(TRIM(B234),1)))</f>
        <v>ك</v>
      </c>
      <c r="M234" s="7" t="n">
        <f aca="false">IF(B234="","",LEN(TRIM(B234))-LEN(SUBSTITUTE(TRIM(B234)," ",""))+1)</f>
        <v>2</v>
      </c>
      <c r="N234" s="10" t="s">
        <v>35</v>
      </c>
    </row>
    <row r="235" customFormat="false" ht="15" hidden="false" customHeight="false" outlineLevel="0" collapsed="false">
      <c r="A235" s="7" t="n">
        <v>234</v>
      </c>
      <c r="B235" s="8" t="s">
        <v>673</v>
      </c>
      <c r="C235" s="9" t="s">
        <v>674</v>
      </c>
      <c r="D235" s="10" t="s">
        <v>30</v>
      </c>
      <c r="E235" s="10" t="n">
        <v>2022</v>
      </c>
      <c r="F235" s="7" t="str">
        <f aca="false">IF(E235="","",IF(E235&lt;1970,"Abyad w eswed",IF(E235&lt;2000,"70s-90s",IF(E235&lt;2015,"2000s","Gedeed"))))</f>
        <v>Gedeed</v>
      </c>
      <c r="G235" s="10" t="s">
        <v>45</v>
      </c>
      <c r="H235" s="9" t="s">
        <v>32</v>
      </c>
      <c r="I235" s="11" t="s">
        <v>400</v>
      </c>
      <c r="J235" s="11"/>
      <c r="K235" s="11"/>
      <c r="L235" s="12" t="str">
        <f aca="false">IF(B235="","",IF(LEFT(TRIM(B235),2)="ال",MID(TRIM(B235),3,1),LEFT(TRIM(B235),1)))</f>
        <v>و</v>
      </c>
      <c r="M235" s="7" t="n">
        <f aca="false">IF(B235="","",LEN(TRIM(B235))-LEN(SUBSTITUTE(TRIM(B235)," ",""))+1)</f>
        <v>2</v>
      </c>
      <c r="N235" s="10" t="s">
        <v>35</v>
      </c>
    </row>
    <row r="236" customFormat="false" ht="15" hidden="false" customHeight="false" outlineLevel="0" collapsed="false">
      <c r="A236" s="7" t="n">
        <v>235</v>
      </c>
      <c r="B236" s="8" t="s">
        <v>675</v>
      </c>
      <c r="C236" s="9" t="s">
        <v>676</v>
      </c>
      <c r="D236" s="10" t="s">
        <v>30</v>
      </c>
      <c r="E236" s="10" t="n">
        <v>2023</v>
      </c>
      <c r="F236" s="7" t="str">
        <f aca="false">IF(E236="","",IF(E236&lt;1970,"Abyad w eswed",IF(E236&lt;2000,"70s-90s",IF(E236&lt;2015,"2000s","Gedeed"))))</f>
        <v>Gedeed</v>
      </c>
      <c r="G236" s="10" t="s">
        <v>45</v>
      </c>
      <c r="H236" s="9" t="s">
        <v>32</v>
      </c>
      <c r="I236" s="11" t="s">
        <v>373</v>
      </c>
      <c r="J236" s="11"/>
      <c r="K236" s="11"/>
      <c r="L236" s="12" t="str">
        <f aca="false">IF(B236="","",IF(LEFT(TRIM(B236),2)="ال",MID(TRIM(B236),3,1),LEFT(TRIM(B236),1)))</f>
        <v>ب</v>
      </c>
      <c r="M236" s="7" t="n">
        <f aca="false">IF(B236="","",LEN(TRIM(B236))-LEN(SUBSTITUTE(TRIM(B236)," ",""))+1)</f>
        <v>2</v>
      </c>
      <c r="N236" s="10" t="s">
        <v>35</v>
      </c>
    </row>
    <row r="237" customFormat="false" ht="15" hidden="false" customHeight="false" outlineLevel="0" collapsed="false">
      <c r="A237" s="7" t="n">
        <v>236</v>
      </c>
      <c r="B237" s="8" t="s">
        <v>677</v>
      </c>
      <c r="C237" s="9" t="s">
        <v>678</v>
      </c>
      <c r="D237" s="10" t="s">
        <v>30</v>
      </c>
      <c r="E237" s="10" t="n">
        <v>2024</v>
      </c>
      <c r="F237" s="7" t="str">
        <f aca="false">IF(E237="","",IF(E237&lt;1970,"Abyad w eswed",IF(E237&lt;2000,"70s-90s",IF(E237&lt;2015,"2000s","Gedeed"))))</f>
        <v>Gedeed</v>
      </c>
      <c r="G237" s="10" t="s">
        <v>45</v>
      </c>
      <c r="H237" s="9" t="s">
        <v>32</v>
      </c>
      <c r="I237" s="11" t="s">
        <v>679</v>
      </c>
      <c r="J237" s="11"/>
      <c r="K237" s="11"/>
      <c r="L237" s="12" t="str">
        <f aca="false">IF(B237="","",IF(LEFT(TRIM(B237),2)="ال",MID(TRIM(B237),3,1),LEFT(TRIM(B237),1)))</f>
        <v>ح</v>
      </c>
      <c r="M237" s="7" t="n">
        <f aca="false">IF(B237="","",LEN(TRIM(B237))-LEN(SUBSTITUTE(TRIM(B237)," ",""))+1)</f>
        <v>1</v>
      </c>
      <c r="N237" s="10" t="s">
        <v>42</v>
      </c>
    </row>
    <row r="238" customFormat="false" ht="15" hidden="false" customHeight="false" outlineLevel="0" collapsed="false">
      <c r="A238" s="7" t="n">
        <v>237</v>
      </c>
      <c r="B238" s="8" t="s">
        <v>680</v>
      </c>
      <c r="C238" s="9" t="s">
        <v>681</v>
      </c>
      <c r="D238" s="10" t="s">
        <v>30</v>
      </c>
      <c r="E238" s="10" t="n">
        <v>2024</v>
      </c>
      <c r="F238" s="7" t="str">
        <f aca="false">IF(E238="","",IF(E238&lt;1970,"Abyad w eswed",IF(E238&lt;2000,"70s-90s",IF(E238&lt;2015,"2000s","Gedeed"))))</f>
        <v>Gedeed</v>
      </c>
      <c r="G238" s="10" t="s">
        <v>45</v>
      </c>
      <c r="H238" s="9" t="s">
        <v>251</v>
      </c>
      <c r="I238" s="11" t="s">
        <v>348</v>
      </c>
      <c r="J238" s="11"/>
      <c r="K238" s="11"/>
      <c r="L238" s="12" t="str">
        <f aca="false">IF(B238="","",IF(LEFT(TRIM(B238),2)="ال",MID(TRIM(B238),3,1),LEFT(TRIM(B238),1)))</f>
        <v>س</v>
      </c>
      <c r="M238" s="7" t="n">
        <f aca="false">IF(B238="","",LEN(TRIM(B238))-LEN(SUBSTITUTE(TRIM(B238)," ",""))+1)</f>
        <v>1</v>
      </c>
      <c r="N238" s="10" t="s">
        <v>42</v>
      </c>
    </row>
    <row r="239" customFormat="false" ht="15" hidden="false" customHeight="false" outlineLevel="0" collapsed="false">
      <c r="A239" s="7" t="n">
        <v>238</v>
      </c>
      <c r="B239" s="8" t="s">
        <v>682</v>
      </c>
      <c r="C239" s="9" t="s">
        <v>683</v>
      </c>
      <c r="D239" s="10" t="s">
        <v>30</v>
      </c>
      <c r="E239" s="10" t="n">
        <v>2024</v>
      </c>
      <c r="F239" s="7" t="str">
        <f aca="false">IF(E239="","",IF(E239&lt;1970,"Abyad w eswed",IF(E239&lt;2000,"70s-90s",IF(E239&lt;2015,"2000s","Gedeed"))))</f>
        <v>Gedeed</v>
      </c>
      <c r="G239" s="10" t="s">
        <v>45</v>
      </c>
      <c r="H239" s="9" t="s">
        <v>251</v>
      </c>
      <c r="I239" s="11" t="s">
        <v>633</v>
      </c>
      <c r="J239" s="11"/>
      <c r="K239" s="11"/>
      <c r="L239" s="12" t="str">
        <f aca="false">IF(B239="","",IF(LEFT(TRIM(B239),2)="ال",MID(TRIM(B239),3,1),LEFT(TRIM(B239),1)))</f>
        <v>ش</v>
      </c>
      <c r="M239" s="7" t="n">
        <f aca="false">IF(B239="","",LEN(TRIM(B239))-LEN(SUBSTITUTE(TRIM(B239)," ",""))+1)</f>
        <v>1</v>
      </c>
      <c r="N239" s="10" t="s">
        <v>42</v>
      </c>
    </row>
    <row r="240" customFormat="false" ht="15" hidden="false" customHeight="false" outlineLevel="0" collapsed="false">
      <c r="A240" s="7" t="n">
        <v>239</v>
      </c>
      <c r="B240" s="8" t="s">
        <v>684</v>
      </c>
      <c r="C240" s="9" t="s">
        <v>685</v>
      </c>
      <c r="D240" s="10" t="s">
        <v>686</v>
      </c>
      <c r="E240" s="10" t="n">
        <v>1980</v>
      </c>
      <c r="F240" s="7" t="str">
        <f aca="false">IF(E240="","",IF(E240&lt;1970,"Abyad w eswed",IF(E240&lt;2000,"70s-90s",IF(E240&lt;2015,"2000s","Gedeed"))))</f>
        <v>70s-90s</v>
      </c>
      <c r="G240" s="10" t="s">
        <v>31</v>
      </c>
      <c r="H240" s="9" t="s">
        <v>53</v>
      </c>
      <c r="I240" s="11" t="s">
        <v>194</v>
      </c>
      <c r="J240" s="11" t="s">
        <v>687</v>
      </c>
      <c r="K240" s="11"/>
      <c r="L240" s="12" t="str">
        <f aca="false">IF(B240="","",IF(LEFT(TRIM(B240),2)="ال",MID(TRIM(B240),3,1),LEFT(TRIM(B240),1)))</f>
        <v>د</v>
      </c>
      <c r="M240" s="7" t="n">
        <f aca="false">IF(B240="","",LEN(TRIM(B240))-LEN(SUBSTITUTE(TRIM(B240)," ",""))+1)</f>
        <v>4</v>
      </c>
      <c r="N240" s="10" t="s">
        <v>42</v>
      </c>
    </row>
    <row r="241" customFormat="false" ht="15" hidden="false" customHeight="false" outlineLevel="0" collapsed="false">
      <c r="A241" s="7" t="n">
        <v>240</v>
      </c>
      <c r="B241" s="8" t="s">
        <v>688</v>
      </c>
      <c r="C241" s="9" t="s">
        <v>689</v>
      </c>
      <c r="D241" s="10" t="s">
        <v>686</v>
      </c>
      <c r="E241" s="10" t="n">
        <v>1983</v>
      </c>
      <c r="F241" s="7" t="str">
        <f aca="false">IF(E241="","",IF(E241&lt;1970,"Abyad w eswed",IF(E241&lt;2000,"70s-90s",IF(E241&lt;2015,"2000s","Gedeed"))))</f>
        <v>70s-90s</v>
      </c>
      <c r="G241" s="10" t="s">
        <v>31</v>
      </c>
      <c r="H241" s="9" t="s">
        <v>53</v>
      </c>
      <c r="I241" s="11" t="s">
        <v>690</v>
      </c>
      <c r="J241" s="11"/>
      <c r="K241" s="11"/>
      <c r="L241" s="12" t="str">
        <f aca="false">IF(B241="","",IF(LEFT(TRIM(B241),2)="ال",MID(TRIM(B241),3,1),LEFT(TRIM(B241),1)))</f>
        <v>ش</v>
      </c>
      <c r="M241" s="7" t="n">
        <f aca="false">IF(B241="","",LEN(TRIM(B241))-LEN(SUBSTITUTE(TRIM(B241)," ",""))+1)</f>
        <v>2</v>
      </c>
      <c r="N241" s="10" t="s">
        <v>42</v>
      </c>
    </row>
    <row r="242" customFormat="false" ht="15" hidden="false" customHeight="false" outlineLevel="0" collapsed="false">
      <c r="A242" s="7" t="n">
        <v>241</v>
      </c>
      <c r="B242" s="8" t="s">
        <v>691</v>
      </c>
      <c r="C242" s="9" t="s">
        <v>692</v>
      </c>
      <c r="D242" s="10" t="s">
        <v>686</v>
      </c>
      <c r="E242" s="10" t="n">
        <v>1985</v>
      </c>
      <c r="F242" s="7" t="str">
        <f aca="false">IF(E242="","",IF(E242&lt;1970,"Abyad w eswed",IF(E242&lt;2000,"70s-90s",IF(E242&lt;2015,"2000s","Gedeed"))))</f>
        <v>70s-90s</v>
      </c>
      <c r="G242" s="10" t="s">
        <v>31</v>
      </c>
      <c r="H242" s="9" t="s">
        <v>53</v>
      </c>
      <c r="I242" s="11" t="s">
        <v>693</v>
      </c>
      <c r="J242" s="11" t="s">
        <v>694</v>
      </c>
      <c r="K242" s="11"/>
      <c r="L242" s="12" t="str">
        <f aca="false">IF(B242="","",IF(LEFT(TRIM(B242),2)="ال",MID(TRIM(B242),3,1),LEFT(TRIM(B242),1)))</f>
        <v>ر</v>
      </c>
      <c r="M242" s="7" t="n">
        <f aca="false">IF(B242="","",LEN(TRIM(B242))-LEN(SUBSTITUTE(TRIM(B242)," ",""))+1)</f>
        <v>5</v>
      </c>
      <c r="N242" s="10" t="s">
        <v>35</v>
      </c>
    </row>
    <row r="243" customFormat="false" ht="15" hidden="false" customHeight="false" outlineLevel="0" collapsed="false">
      <c r="A243" s="7" t="n">
        <v>242</v>
      </c>
      <c r="B243" s="8" t="s">
        <v>695</v>
      </c>
      <c r="C243" s="9" t="s">
        <v>696</v>
      </c>
      <c r="D243" s="10" t="s">
        <v>686</v>
      </c>
      <c r="E243" s="10" t="n">
        <v>1987</v>
      </c>
      <c r="F243" s="7" t="str">
        <f aca="false">IF(E243="","",IF(E243&lt;1970,"Abyad w eswed",IF(E243&lt;2000,"70s-90s",IF(E243&lt;2015,"2000s","Gedeed"))))</f>
        <v>70s-90s</v>
      </c>
      <c r="G243" s="10" t="s">
        <v>45</v>
      </c>
      <c r="H243" s="9" t="s">
        <v>53</v>
      </c>
      <c r="I243" s="11" t="s">
        <v>697</v>
      </c>
      <c r="J243" s="11" t="s">
        <v>698</v>
      </c>
      <c r="K243" s="11"/>
      <c r="L243" s="12" t="str">
        <f aca="false">IF(B243="","",IF(LEFT(TRIM(B243),2)="ال",MID(TRIM(B243),3,1),LEFT(TRIM(B243),1)))</f>
        <v>ل</v>
      </c>
      <c r="M243" s="7" t="n">
        <f aca="false">IF(B243="","",LEN(TRIM(B243))-LEN(SUBSTITUTE(TRIM(B243)," ",""))+1)</f>
        <v>2</v>
      </c>
      <c r="N243" s="10" t="s">
        <v>35</v>
      </c>
    </row>
    <row r="244" customFormat="false" ht="15" hidden="false" customHeight="false" outlineLevel="0" collapsed="false">
      <c r="A244" s="7" t="n">
        <v>243</v>
      </c>
      <c r="B244" s="8" t="s">
        <v>699</v>
      </c>
      <c r="C244" s="9" t="s">
        <v>700</v>
      </c>
      <c r="D244" s="10" t="s">
        <v>686</v>
      </c>
      <c r="E244" s="10" t="n">
        <v>1988</v>
      </c>
      <c r="F244" s="7" t="str">
        <f aca="false">IF(E244="","",IF(E244&lt;1970,"Abyad w eswed",IF(E244&lt;2000,"70s-90s",IF(E244&lt;2015,"2000s","Gedeed"))))</f>
        <v>70s-90s</v>
      </c>
      <c r="G244" s="10" t="s">
        <v>57</v>
      </c>
      <c r="H244" s="9" t="s">
        <v>53</v>
      </c>
      <c r="I244" s="11" t="s">
        <v>229</v>
      </c>
      <c r="J244" s="11" t="s">
        <v>699</v>
      </c>
      <c r="K244" s="11"/>
      <c r="L244" s="12" t="str">
        <f aca="false">IF(B244="","",IF(LEFT(TRIM(B244),2)="ال",MID(TRIM(B244),3,1),LEFT(TRIM(B244),1)))</f>
        <v>ر</v>
      </c>
      <c r="M244" s="7" t="n">
        <f aca="false">IF(B244="","",LEN(TRIM(B244))-LEN(SUBSTITUTE(TRIM(B244)," ",""))+1)</f>
        <v>2</v>
      </c>
      <c r="N244" s="10" t="s">
        <v>35</v>
      </c>
    </row>
    <row r="245" customFormat="false" ht="15" hidden="false" customHeight="false" outlineLevel="0" collapsed="false">
      <c r="A245" s="7" t="n">
        <v>244</v>
      </c>
      <c r="B245" s="8" t="s">
        <v>701</v>
      </c>
      <c r="C245" s="9" t="s">
        <v>702</v>
      </c>
      <c r="D245" s="10" t="s">
        <v>686</v>
      </c>
      <c r="E245" s="10" t="n">
        <v>1992</v>
      </c>
      <c r="F245" s="7" t="str">
        <f aca="false">IF(E245="","",IF(E245&lt;1970,"Abyad w eswed",IF(E245&lt;2000,"70s-90s",IF(E245&lt;2015,"2000s","Gedeed"))))</f>
        <v>70s-90s</v>
      </c>
      <c r="G245" s="10" t="s">
        <v>45</v>
      </c>
      <c r="H245" s="9" t="s">
        <v>53</v>
      </c>
      <c r="I245" s="11" t="s">
        <v>690</v>
      </c>
      <c r="J245" s="11"/>
      <c r="K245" s="11"/>
      <c r="L245" s="12" t="str">
        <f aca="false">IF(B245="","",IF(LEFT(TRIM(B245),2)="ال",MID(TRIM(B245),3,1),LEFT(TRIM(B245),1)))</f>
        <v>م</v>
      </c>
      <c r="M245" s="7" t="n">
        <f aca="false">IF(B245="","",LEN(TRIM(B245))-LEN(SUBSTITUTE(TRIM(B245)," ",""))+1)</f>
        <v>2</v>
      </c>
      <c r="N245" s="10" t="s">
        <v>42</v>
      </c>
    </row>
    <row r="246" customFormat="false" ht="15" hidden="false" customHeight="false" outlineLevel="0" collapsed="false">
      <c r="A246" s="7" t="n">
        <v>245</v>
      </c>
      <c r="B246" s="8" t="s">
        <v>703</v>
      </c>
      <c r="C246" s="9" t="s">
        <v>704</v>
      </c>
      <c r="D246" s="10" t="s">
        <v>686</v>
      </c>
      <c r="E246" s="10" t="n">
        <v>1992</v>
      </c>
      <c r="F246" s="7" t="str">
        <f aca="false">IF(E246="","",IF(E246&lt;1970,"Abyad w eswed",IF(E246&lt;2000,"70s-90s",IF(E246&lt;2015,"2000s","Gedeed"))))</f>
        <v>70s-90s</v>
      </c>
      <c r="G246" s="10" t="s">
        <v>31</v>
      </c>
      <c r="H246" s="9" t="s">
        <v>114</v>
      </c>
      <c r="I246" s="11" t="s">
        <v>705</v>
      </c>
      <c r="J246" s="11"/>
      <c r="K246" s="11"/>
      <c r="L246" s="12" t="str">
        <f aca="false">IF(B246="","",IF(LEFT(TRIM(B246),2)="ال",MID(TRIM(B246),3,1),LEFT(TRIM(B246),1)))</f>
        <v>ب</v>
      </c>
      <c r="M246" s="7" t="n">
        <f aca="false">IF(B246="","",LEN(TRIM(B246))-LEN(SUBSTITUTE(TRIM(B246)," ",""))+1)</f>
        <v>2</v>
      </c>
      <c r="N246" s="10" t="s">
        <v>42</v>
      </c>
    </row>
    <row r="247" customFormat="false" ht="15" hidden="false" customHeight="false" outlineLevel="0" collapsed="false">
      <c r="A247" s="7" t="n">
        <v>246</v>
      </c>
      <c r="B247" s="8" t="s">
        <v>706</v>
      </c>
      <c r="C247" s="9" t="s">
        <v>707</v>
      </c>
      <c r="D247" s="10" t="s">
        <v>686</v>
      </c>
      <c r="E247" s="10" t="n">
        <v>1992</v>
      </c>
      <c r="F247" s="7" t="str">
        <f aca="false">IF(E247="","",IF(E247&lt;1970,"Abyad w eswed",IF(E247&lt;2000,"70s-90s",IF(E247&lt;2015,"2000s","Gedeed"))))</f>
        <v>70s-90s</v>
      </c>
      <c r="G247" s="10" t="s">
        <v>31</v>
      </c>
      <c r="H247" s="9" t="s">
        <v>53</v>
      </c>
      <c r="I247" s="11" t="s">
        <v>708</v>
      </c>
      <c r="J247" s="11"/>
      <c r="K247" s="11"/>
      <c r="L247" s="12" t="str">
        <f aca="false">IF(B247="","",IF(LEFT(TRIM(B247),2)="ال",MID(TRIM(B247),3,1),LEFT(TRIM(B247),1)))</f>
        <v>ذ</v>
      </c>
      <c r="M247" s="7" t="n">
        <f aca="false">IF(B247="","",LEN(TRIM(B247))-LEN(SUBSTITUTE(TRIM(B247)," ",""))+1)</f>
        <v>2</v>
      </c>
      <c r="N247" s="10" t="s">
        <v>42</v>
      </c>
    </row>
    <row r="248" customFormat="false" ht="15" hidden="false" customHeight="false" outlineLevel="0" collapsed="false">
      <c r="A248" s="7" t="n">
        <v>247</v>
      </c>
      <c r="B248" s="8" t="s">
        <v>709</v>
      </c>
      <c r="C248" s="9" t="s">
        <v>710</v>
      </c>
      <c r="D248" s="10" t="s">
        <v>686</v>
      </c>
      <c r="E248" s="10" t="n">
        <v>1994</v>
      </c>
      <c r="F248" s="7" t="str">
        <f aca="false">IF(E248="","",IF(E248&lt;1970,"Abyad w eswed",IF(E248&lt;2000,"70s-90s",IF(E248&lt;2015,"2000s","Gedeed"))))</f>
        <v>70s-90s</v>
      </c>
      <c r="G248" s="10" t="s">
        <v>45</v>
      </c>
      <c r="H248" s="9" t="s">
        <v>53</v>
      </c>
      <c r="I248" s="11" t="s">
        <v>711</v>
      </c>
      <c r="J248" s="11" t="s">
        <v>712</v>
      </c>
      <c r="K248" s="11"/>
      <c r="L248" s="12" t="str">
        <f aca="false">IF(B248="","",IF(LEFT(TRIM(B248),2)="ال",MID(TRIM(B248),3,1),LEFT(TRIM(B248),1)))</f>
        <v>أ</v>
      </c>
      <c r="M248" s="7" t="n">
        <f aca="false">IF(B248="","",LEN(TRIM(B248))-LEN(SUBSTITUTE(TRIM(B248)," ",""))+1)</f>
        <v>1</v>
      </c>
      <c r="N248" s="10" t="s">
        <v>35</v>
      </c>
    </row>
    <row r="249" customFormat="false" ht="15" hidden="false" customHeight="false" outlineLevel="0" collapsed="false">
      <c r="A249" s="7" t="n">
        <v>248</v>
      </c>
      <c r="B249" s="8" t="s">
        <v>713</v>
      </c>
      <c r="C249" s="9" t="s">
        <v>714</v>
      </c>
      <c r="D249" s="10" t="s">
        <v>686</v>
      </c>
      <c r="E249" s="10" t="n">
        <v>1996</v>
      </c>
      <c r="F249" s="7" t="str">
        <f aca="false">IF(E249="","",IF(E249&lt;1970,"Abyad w eswed",IF(E249&lt;2000,"70s-90s",IF(E249&lt;2015,"2000s","Gedeed"))))</f>
        <v>70s-90s</v>
      </c>
      <c r="G249" s="10" t="s">
        <v>31</v>
      </c>
      <c r="H249" s="9" t="s">
        <v>53</v>
      </c>
      <c r="I249" s="11" t="s">
        <v>715</v>
      </c>
      <c r="J249" s="11" t="s">
        <v>716</v>
      </c>
      <c r="K249" s="11"/>
      <c r="L249" s="12" t="str">
        <f aca="false">IF(B249="","",IF(LEFT(TRIM(B249),2)="ال",MID(TRIM(B249),3,1),LEFT(TRIM(B249),1)))</f>
        <v>و</v>
      </c>
      <c r="M249" s="7" t="n">
        <f aca="false">IF(B249="","",LEN(TRIM(B249))-LEN(SUBSTITUTE(TRIM(B249)," ",""))+1)</f>
        <v>1</v>
      </c>
      <c r="N249" s="10" t="s">
        <v>35</v>
      </c>
    </row>
    <row r="250" customFormat="false" ht="15" hidden="false" customHeight="false" outlineLevel="0" collapsed="false">
      <c r="A250" s="7" t="n">
        <v>249</v>
      </c>
      <c r="B250" s="8" t="s">
        <v>717</v>
      </c>
      <c r="C250" s="9" t="s">
        <v>718</v>
      </c>
      <c r="D250" s="10" t="s">
        <v>686</v>
      </c>
      <c r="E250" s="10" t="n">
        <v>1996</v>
      </c>
      <c r="F250" s="7" t="str">
        <f aca="false">IF(E250="","",IF(E250&lt;1970,"Abyad w eswed",IF(E250&lt;2000,"70s-90s",IF(E250&lt;2015,"2000s","Gedeed"))))</f>
        <v>70s-90s</v>
      </c>
      <c r="G250" s="10" t="s">
        <v>57</v>
      </c>
      <c r="H250" s="9" t="s">
        <v>53</v>
      </c>
      <c r="I250" s="11" t="s">
        <v>198</v>
      </c>
      <c r="J250" s="11" t="s">
        <v>719</v>
      </c>
      <c r="K250" s="11"/>
      <c r="L250" s="12" t="str">
        <f aca="false">IF(B250="","",IF(LEFT(TRIM(B250),2)="ال",MID(TRIM(B250),3,1),LEFT(TRIM(B250),1)))</f>
        <v>ل</v>
      </c>
      <c r="M250" s="7" t="n">
        <f aca="false">IF(B250="","",LEN(TRIM(B250))-LEN(SUBSTITUTE(TRIM(B250)," ",""))+1)</f>
        <v>5</v>
      </c>
      <c r="N250" s="10" t="s">
        <v>35</v>
      </c>
    </row>
    <row r="251" customFormat="false" ht="15" hidden="false" customHeight="false" outlineLevel="0" collapsed="false">
      <c r="A251" s="7" t="n">
        <v>250</v>
      </c>
      <c r="B251" s="8" t="s">
        <v>720</v>
      </c>
      <c r="C251" s="9" t="s">
        <v>721</v>
      </c>
      <c r="D251" s="10" t="s">
        <v>686</v>
      </c>
      <c r="E251" s="10" t="n">
        <v>1997</v>
      </c>
      <c r="F251" s="7" t="str">
        <f aca="false">IF(E251="","",IF(E251&lt;1970,"Abyad w eswed",IF(E251&lt;2000,"70s-90s",IF(E251&lt;2015,"2000s","Gedeed"))))</f>
        <v>70s-90s</v>
      </c>
      <c r="G251" s="10" t="s">
        <v>45</v>
      </c>
      <c r="H251" s="9" t="s">
        <v>53</v>
      </c>
      <c r="I251" s="11" t="s">
        <v>697</v>
      </c>
      <c r="J251" s="11" t="s">
        <v>722</v>
      </c>
      <c r="K251" s="11"/>
      <c r="L251" s="12" t="str">
        <f aca="false">IF(B251="","",IF(LEFT(TRIM(B251),2)="ال",MID(TRIM(B251),3,1),LEFT(TRIM(B251),1)))</f>
        <v>ز</v>
      </c>
      <c r="M251" s="7" t="n">
        <f aca="false">IF(B251="","",LEN(TRIM(B251))-LEN(SUBSTITUTE(TRIM(B251)," ",""))+1)</f>
        <v>1</v>
      </c>
      <c r="N251" s="10" t="s">
        <v>35</v>
      </c>
    </row>
    <row r="252" customFormat="false" ht="15" hidden="false" customHeight="false" outlineLevel="0" collapsed="false">
      <c r="A252" s="7" t="n">
        <v>251</v>
      </c>
      <c r="B252" s="8" t="s">
        <v>723</v>
      </c>
      <c r="C252" s="9" t="s">
        <v>724</v>
      </c>
      <c r="D252" s="10" t="s">
        <v>686</v>
      </c>
      <c r="E252" s="10" t="n">
        <v>1998</v>
      </c>
      <c r="F252" s="7" t="str">
        <f aca="false">IF(E252="","",IF(E252&lt;1970,"Abyad w eswed",IF(E252&lt;2000,"70s-90s",IF(E252&lt;2015,"2000s","Gedeed"))))</f>
        <v>70s-90s</v>
      </c>
      <c r="G252" s="10" t="s">
        <v>45</v>
      </c>
      <c r="H252" s="9" t="s">
        <v>53</v>
      </c>
      <c r="I252" s="11" t="s">
        <v>725</v>
      </c>
      <c r="J252" s="11" t="s">
        <v>726</v>
      </c>
      <c r="K252" s="11"/>
      <c r="L252" s="12" t="str">
        <f aca="false">IF(B252="","",IF(LEFT(TRIM(B252),2)="ال",MID(TRIM(B252),3,1),LEFT(TRIM(B252),1)))</f>
        <v>ض</v>
      </c>
      <c r="M252" s="7" t="n">
        <f aca="false">IF(B252="","",LEN(TRIM(B252))-LEN(SUBSTITUTE(TRIM(B252)," ",""))+1)</f>
        <v>2</v>
      </c>
      <c r="N252" s="10" t="s">
        <v>35</v>
      </c>
    </row>
    <row r="253" customFormat="false" ht="15" hidden="false" customHeight="false" outlineLevel="0" collapsed="false">
      <c r="A253" s="7" t="n">
        <v>252</v>
      </c>
      <c r="B253" s="8" t="s">
        <v>727</v>
      </c>
      <c r="C253" s="9" t="s">
        <v>728</v>
      </c>
      <c r="D253" s="10" t="s">
        <v>686</v>
      </c>
      <c r="E253" s="10" t="n">
        <v>1999</v>
      </c>
      <c r="F253" s="7" t="str">
        <f aca="false">IF(E253="","",IF(E253&lt;1970,"Abyad w eswed",IF(E253&lt;2000,"70s-90s",IF(E253&lt;2015,"2000s","Gedeed"))))</f>
        <v>70s-90s</v>
      </c>
      <c r="G253" s="10" t="s">
        <v>45</v>
      </c>
      <c r="H253" s="9" t="s">
        <v>114</v>
      </c>
      <c r="I253" s="11" t="s">
        <v>729</v>
      </c>
      <c r="J253" s="11" t="s">
        <v>727</v>
      </c>
      <c r="K253" s="11"/>
      <c r="L253" s="12" t="str">
        <f aca="false">IF(B253="","",IF(LEFT(TRIM(B253),2)="ال",MID(TRIM(B253),3,1),LEFT(TRIM(B253),1)))</f>
        <v>أ</v>
      </c>
      <c r="M253" s="7" t="n">
        <f aca="false">IF(B253="","",LEN(TRIM(B253))-LEN(SUBSTITUTE(TRIM(B253)," ",""))+1)</f>
        <v>2</v>
      </c>
      <c r="N253" s="10" t="s">
        <v>35</v>
      </c>
    </row>
    <row r="254" customFormat="false" ht="15" hidden="false" customHeight="false" outlineLevel="0" collapsed="false">
      <c r="A254" s="7" t="n">
        <v>253</v>
      </c>
      <c r="B254" s="8" t="s">
        <v>730</v>
      </c>
      <c r="C254" s="9" t="s">
        <v>731</v>
      </c>
      <c r="D254" s="10" t="s">
        <v>686</v>
      </c>
      <c r="E254" s="10" t="n">
        <v>2017</v>
      </c>
      <c r="F254" s="7" t="str">
        <f aca="false">IF(E254="","",IF(E254&lt;1970,"Abyad w eswed",IF(E254&lt;2000,"70s-90s",IF(E254&lt;2015,"2000s","Gedeed"))))</f>
        <v>Gedeed</v>
      </c>
      <c r="G254" s="10" t="s">
        <v>45</v>
      </c>
      <c r="H254" s="9" t="s">
        <v>53</v>
      </c>
      <c r="I254" s="11" t="s">
        <v>732</v>
      </c>
      <c r="J254" s="11"/>
      <c r="K254" s="11"/>
      <c r="L254" s="12" t="str">
        <f aca="false">IF(B254="","",IF(LEFT(TRIM(B254),2)="ال",MID(TRIM(B254),3,1),LEFT(TRIM(B254),1)))</f>
        <v>س</v>
      </c>
      <c r="M254" s="7" t="n">
        <f aca="false">IF(B254="","",LEN(TRIM(B254))-LEN(SUBSTITUTE(TRIM(B254)," ",""))+1)</f>
        <v>2</v>
      </c>
      <c r="N254" s="10" t="s">
        <v>42</v>
      </c>
    </row>
    <row r="255" customFormat="false" ht="15" hidden="false" customHeight="false" outlineLevel="0" collapsed="false">
      <c r="A255" s="7" t="n">
        <v>254</v>
      </c>
      <c r="B255" s="8" t="s">
        <v>733</v>
      </c>
      <c r="C255" s="9" t="s">
        <v>734</v>
      </c>
      <c r="D255" s="10" t="s">
        <v>686</v>
      </c>
      <c r="E255" s="10" t="n">
        <v>2020</v>
      </c>
      <c r="F255" s="7" t="str">
        <f aca="false">IF(E255="","",IF(E255&lt;1970,"Abyad w eswed",IF(E255&lt;2000,"70s-90s",IF(E255&lt;2015,"2000s","Gedeed"))))</f>
        <v>Gedeed</v>
      </c>
      <c r="G255" s="10" t="s">
        <v>45</v>
      </c>
      <c r="H255" s="9" t="s">
        <v>53</v>
      </c>
      <c r="I255" s="11" t="s">
        <v>735</v>
      </c>
      <c r="J255" s="11"/>
      <c r="K255" s="11"/>
      <c r="L255" s="12" t="str">
        <f aca="false">IF(B255="","",IF(LEFT(TRIM(B255),2)="ال",MID(TRIM(B255),3,1),LEFT(TRIM(B255),1)))</f>
        <v>ل</v>
      </c>
      <c r="M255" s="7" t="n">
        <f aca="false">IF(B255="","",LEN(TRIM(B255))-LEN(SUBSTITUTE(TRIM(B255)," ",""))+1)</f>
        <v>2</v>
      </c>
      <c r="N255" s="10" t="s">
        <v>35</v>
      </c>
    </row>
    <row r="256" customFormat="false" ht="15" hidden="false" customHeight="false" outlineLevel="0" collapsed="false">
      <c r="A256" s="7" t="n">
        <v>255</v>
      </c>
      <c r="B256" s="8" t="s">
        <v>736</v>
      </c>
      <c r="C256" s="9" t="s">
        <v>737</v>
      </c>
      <c r="D256" s="10" t="s">
        <v>686</v>
      </c>
      <c r="E256" s="10" t="n">
        <v>2020</v>
      </c>
      <c r="F256" s="7" t="str">
        <f aca="false">IF(E256="","",IF(E256&lt;1970,"Abyad w eswed",IF(E256&lt;2000,"70s-90s",IF(E256&lt;2015,"2000s","Gedeed"))))</f>
        <v>Gedeed</v>
      </c>
      <c r="G256" s="10" t="s">
        <v>45</v>
      </c>
      <c r="H256" s="9" t="s">
        <v>226</v>
      </c>
      <c r="I256" s="11" t="s">
        <v>738</v>
      </c>
      <c r="J256" s="11" t="s">
        <v>739</v>
      </c>
      <c r="K256" s="11"/>
      <c r="L256" s="12" t="str">
        <f aca="false">IF(B256="","",IF(LEFT(TRIM(B256),2)="ال",MID(TRIM(B256),3,1),LEFT(TRIM(B256),1)))</f>
        <v>م</v>
      </c>
      <c r="M256" s="7" t="n">
        <f aca="false">IF(B256="","",LEN(TRIM(B256))-LEN(SUBSTITUTE(TRIM(B256)," ",""))+1)</f>
        <v>3</v>
      </c>
      <c r="N256" s="10" t="s">
        <v>35</v>
      </c>
    </row>
    <row r="257" customFormat="false" ht="15" hidden="false" customHeight="false" outlineLevel="0" collapsed="false">
      <c r="A257" s="7" t="n">
        <v>256</v>
      </c>
      <c r="B257" s="8" t="s">
        <v>740</v>
      </c>
      <c r="C257" s="9" t="s">
        <v>741</v>
      </c>
      <c r="D257" s="10" t="s">
        <v>686</v>
      </c>
      <c r="E257" s="10" t="n">
        <v>2023</v>
      </c>
      <c r="F257" s="7" t="str">
        <f aca="false">IF(E257="","",IF(E257&lt;1970,"Abyad w eswed",IF(E257&lt;2000,"70s-90s",IF(E257&lt;2015,"2000s","Gedeed"))))</f>
        <v>Gedeed</v>
      </c>
      <c r="G257" s="10" t="s">
        <v>45</v>
      </c>
      <c r="H257" s="9" t="s">
        <v>32</v>
      </c>
      <c r="I257" s="11" t="s">
        <v>742</v>
      </c>
      <c r="J257" s="11"/>
      <c r="K257" s="11"/>
      <c r="L257" s="12" t="str">
        <f aca="false">IF(B257="","",IF(LEFT(TRIM(B257),2)="ال",MID(TRIM(B257),3,1),LEFT(TRIM(B257),1)))</f>
        <v>ب</v>
      </c>
      <c r="M257" s="7" t="n">
        <f aca="false">IF(B257="","",LEN(TRIM(B257))-LEN(SUBSTITUTE(TRIM(B257)," ",""))+1)</f>
        <v>2</v>
      </c>
      <c r="N257" s="10" t="s">
        <v>42</v>
      </c>
    </row>
    <row r="258" customFormat="false" ht="15" hidden="false" customHeight="false" outlineLevel="0" collapsed="false">
      <c r="A258" s="7" t="n">
        <v>257</v>
      </c>
      <c r="B258" s="8" t="s">
        <v>743</v>
      </c>
      <c r="C258" s="9" t="s">
        <v>744</v>
      </c>
      <c r="D258" s="10" t="s">
        <v>686</v>
      </c>
      <c r="E258" s="10" t="n">
        <v>2023</v>
      </c>
      <c r="F258" s="7" t="str">
        <f aca="false">IF(E258="","",IF(E258&lt;1970,"Abyad w eswed",IF(E258&lt;2000,"70s-90s",IF(E258&lt;2015,"2000s","Gedeed"))))</f>
        <v>Gedeed</v>
      </c>
      <c r="G258" s="10" t="s">
        <v>45</v>
      </c>
      <c r="H258" s="9" t="s">
        <v>32</v>
      </c>
      <c r="I258" s="11" t="s">
        <v>745</v>
      </c>
      <c r="J258" s="11"/>
      <c r="K258" s="11"/>
      <c r="L258" s="12" t="str">
        <f aca="false">IF(B258="","",IF(LEFT(TRIM(B258),2)="ال",MID(TRIM(B258),3,1),LEFT(TRIM(B258),1)))</f>
        <v>ه</v>
      </c>
      <c r="M258" s="7" t="n">
        <f aca="false">IF(B258="","",LEN(TRIM(B258))-LEN(SUBSTITUTE(TRIM(B258)," ",""))+1)</f>
        <v>2</v>
      </c>
      <c r="N258" s="10" t="s">
        <v>42</v>
      </c>
    </row>
    <row r="259" customFormat="false" ht="15" hidden="false" customHeight="false" outlineLevel="0" collapsed="false">
      <c r="A259" s="7" t="n">
        <v>258</v>
      </c>
      <c r="B259" s="8" t="s">
        <v>746</v>
      </c>
      <c r="C259" s="9" t="s">
        <v>747</v>
      </c>
      <c r="D259" s="10" t="s">
        <v>686</v>
      </c>
      <c r="E259" s="10" t="n">
        <v>2023</v>
      </c>
      <c r="F259" s="7" t="str">
        <f aca="false">IF(E259="","",IF(E259&lt;1970,"Abyad w eswed",IF(E259&lt;2000,"70s-90s",IF(E259&lt;2015,"2000s","Gedeed"))))</f>
        <v>Gedeed</v>
      </c>
      <c r="G259" s="10" t="s">
        <v>45</v>
      </c>
      <c r="H259" s="9" t="s">
        <v>32</v>
      </c>
      <c r="I259" s="11" t="s">
        <v>748</v>
      </c>
      <c r="J259" s="11"/>
      <c r="K259" s="11"/>
      <c r="L259" s="12" t="str">
        <f aca="false">IF(B259="","",IF(LEFT(TRIM(B259),2)="ال",MID(TRIM(B259),3,1),LEFT(TRIM(B259),1)))</f>
        <v>ب</v>
      </c>
      <c r="M259" s="7" t="n">
        <f aca="false">IF(B259="","",LEN(TRIM(B259))-LEN(SUBSTITUTE(TRIM(B259)," ",""))+1)</f>
        <v>1</v>
      </c>
      <c r="N259" s="10" t="s">
        <v>42</v>
      </c>
    </row>
    <row r="260" customFormat="false" ht="15" hidden="false" customHeight="false" outlineLevel="0" collapsed="false">
      <c r="A260" s="7" t="n">
        <v>259</v>
      </c>
      <c r="B260" s="8" t="s">
        <v>749</v>
      </c>
      <c r="C260" s="9" t="s">
        <v>750</v>
      </c>
      <c r="D260" s="10" t="s">
        <v>751</v>
      </c>
      <c r="E260" s="10" t="n">
        <v>2001</v>
      </c>
      <c r="F260" s="7" t="str">
        <f aca="false">IF(E260="","",IF(E260&lt;1970,"Abyad w eswed",IF(E260&lt;2000,"70s-90s",IF(E260&lt;2015,"2000s","Gedeed"))))</f>
        <v>2000s</v>
      </c>
      <c r="G260" s="10" t="s">
        <v>45</v>
      </c>
      <c r="H260" s="9" t="s">
        <v>53</v>
      </c>
      <c r="I260" s="11" t="s">
        <v>198</v>
      </c>
      <c r="J260" s="11"/>
      <c r="K260" s="11"/>
      <c r="L260" s="12" t="str">
        <f aca="false">IF(B260="","",IF(LEFT(TRIM(B260),2)="ال",MID(TRIM(B260),3,1),LEFT(TRIM(B260),1)))</f>
        <v>ع</v>
      </c>
      <c r="M260" s="7" t="n">
        <f aca="false">IF(B260="","",LEN(TRIM(B260))-LEN(SUBSTITUTE(TRIM(B260)," ",""))+1)</f>
        <v>3</v>
      </c>
      <c r="N260" s="10" t="s">
        <v>35</v>
      </c>
    </row>
    <row r="261" customFormat="false" ht="15" hidden="false" customHeight="false" outlineLevel="0" collapsed="false">
      <c r="A261" s="7" t="n">
        <v>260</v>
      </c>
      <c r="B261" s="8" t="s">
        <v>752</v>
      </c>
      <c r="C261" s="9" t="s">
        <v>753</v>
      </c>
      <c r="D261" s="10" t="s">
        <v>751</v>
      </c>
      <c r="E261" s="10" t="n">
        <v>2001</v>
      </c>
      <c r="F261" s="7" t="str">
        <f aca="false">IF(E261="","",IF(E261&lt;1970,"Abyad w eswed",IF(E261&lt;2000,"70s-90s",IF(E261&lt;2015,"2000s","Gedeed"))))</f>
        <v>2000s</v>
      </c>
      <c r="G261" s="10" t="s">
        <v>57</v>
      </c>
      <c r="H261" s="9" t="s">
        <v>32</v>
      </c>
      <c r="I261" s="11" t="s">
        <v>198</v>
      </c>
      <c r="J261" s="11" t="s">
        <v>754</v>
      </c>
      <c r="K261" s="11"/>
      <c r="L261" s="12" t="str">
        <f aca="false">IF(B261="","",IF(LEFT(TRIM(B261),2)="ال",MID(TRIM(B261),3,1),LEFT(TRIM(B261),1)))</f>
        <v>ع</v>
      </c>
      <c r="M261" s="7" t="n">
        <f aca="false">IF(B261="","",LEN(TRIM(B261))-LEN(SUBSTITUTE(TRIM(B261)," ",""))+1)</f>
        <v>3</v>
      </c>
      <c r="N261" s="10" t="s">
        <v>35</v>
      </c>
    </row>
    <row r="262" customFormat="false" ht="15" hidden="false" customHeight="false" outlineLevel="0" collapsed="false">
      <c r="A262" s="7" t="n">
        <v>261</v>
      </c>
      <c r="B262" s="8" t="s">
        <v>755</v>
      </c>
      <c r="C262" s="9" t="s">
        <v>756</v>
      </c>
      <c r="D262" s="10" t="s">
        <v>751</v>
      </c>
      <c r="E262" s="10" t="n">
        <v>2007</v>
      </c>
      <c r="F262" s="7" t="str">
        <f aca="false">IF(E262="","",IF(E262&lt;1970,"Abyad w eswed",IF(E262&lt;2000,"70s-90s",IF(E262&lt;2015,"2000s","Gedeed"))))</f>
        <v>2000s</v>
      </c>
      <c r="G262" s="10" t="s">
        <v>45</v>
      </c>
      <c r="H262" s="9" t="s">
        <v>114</v>
      </c>
      <c r="I262" s="11" t="s">
        <v>757</v>
      </c>
      <c r="J262" s="11" t="s">
        <v>755</v>
      </c>
      <c r="K262" s="11"/>
      <c r="L262" s="12" t="str">
        <f aca="false">IF(B262="","",IF(LEFT(TRIM(B262),2)="ال",MID(TRIM(B262),3,1),LEFT(TRIM(B262),1)))</f>
        <v>م</v>
      </c>
      <c r="M262" s="7" t="n">
        <f aca="false">IF(B262="","",LEN(TRIM(B262))-LEN(SUBSTITUTE(TRIM(B262)," ",""))+1)</f>
        <v>2</v>
      </c>
      <c r="N262" s="10" t="s">
        <v>35</v>
      </c>
    </row>
    <row r="263" customFormat="false" ht="15" hidden="false" customHeight="false" outlineLevel="0" collapsed="false">
      <c r="A263" s="7" t="n">
        <v>262</v>
      </c>
      <c r="B263" s="8" t="s">
        <v>758</v>
      </c>
      <c r="C263" s="9" t="s">
        <v>759</v>
      </c>
      <c r="D263" s="10" t="s">
        <v>751</v>
      </c>
      <c r="E263" s="10" t="n">
        <v>2007</v>
      </c>
      <c r="F263" s="7" t="str">
        <f aca="false">IF(E263="","",IF(E263&lt;1970,"Abyad w eswed",IF(E263&lt;2000,"70s-90s",IF(E263&lt;2015,"2000s","Gedeed"))))</f>
        <v>2000s</v>
      </c>
      <c r="G263" s="10" t="s">
        <v>57</v>
      </c>
      <c r="H263" s="9" t="s">
        <v>32</v>
      </c>
      <c r="I263" s="11" t="s">
        <v>697</v>
      </c>
      <c r="J263" s="11" t="s">
        <v>760</v>
      </c>
      <c r="K263" s="11"/>
      <c r="L263" s="12" t="str">
        <f aca="false">IF(B263="","",IF(LEFT(TRIM(B263),2)="ال",MID(TRIM(B263),3,1),LEFT(TRIM(B263),1)))</f>
        <v>ي</v>
      </c>
      <c r="M263" s="7" t="n">
        <f aca="false">IF(B263="","",LEN(TRIM(B263))-LEN(SUBSTITUTE(TRIM(B263)," ",""))+1)</f>
        <v>3</v>
      </c>
      <c r="N263" s="10" t="s">
        <v>35</v>
      </c>
    </row>
    <row r="264" customFormat="false" ht="15" hidden="false" customHeight="false" outlineLevel="0" collapsed="false">
      <c r="A264" s="7" t="n">
        <v>263</v>
      </c>
      <c r="B264" s="8" t="s">
        <v>761</v>
      </c>
      <c r="C264" s="9" t="s">
        <v>762</v>
      </c>
      <c r="D264" s="10" t="s">
        <v>751</v>
      </c>
      <c r="E264" s="10" t="n">
        <v>2010</v>
      </c>
      <c r="F264" s="7" t="str">
        <f aca="false">IF(E264="","",IF(E264&lt;1970,"Abyad w eswed",IF(E264&lt;2000,"70s-90s",IF(E264&lt;2015,"2000s","Gedeed"))))</f>
        <v>2000s</v>
      </c>
      <c r="G264" s="10" t="s">
        <v>31</v>
      </c>
      <c r="H264" s="9" t="s">
        <v>53</v>
      </c>
      <c r="I264" s="11" t="s">
        <v>763</v>
      </c>
      <c r="J264" s="11" t="s">
        <v>764</v>
      </c>
      <c r="K264" s="11"/>
      <c r="L264" s="12" t="str">
        <f aca="false">IF(B264="","",IF(LEFT(TRIM(B264),2)="ال",MID(TRIM(B264),3,1),LEFT(TRIM(B264),1)))</f>
        <v>ج</v>
      </c>
      <c r="M264" s="7" t="n">
        <f aca="false">IF(B264="","",LEN(TRIM(B264))-LEN(SUBSTITUTE(TRIM(B264)," ",""))+1)</f>
        <v>1</v>
      </c>
      <c r="N264" s="10" t="s">
        <v>35</v>
      </c>
    </row>
    <row r="265" customFormat="false" ht="15" hidden="false" customHeight="false" outlineLevel="0" collapsed="false">
      <c r="A265" s="7" t="n">
        <v>264</v>
      </c>
      <c r="B265" s="8" t="s">
        <v>765</v>
      </c>
      <c r="C265" s="9" t="s">
        <v>766</v>
      </c>
      <c r="D265" s="10" t="s">
        <v>751</v>
      </c>
      <c r="E265" s="10" t="n">
        <v>2010</v>
      </c>
      <c r="F265" s="7" t="str">
        <f aca="false">IF(E265="","",IF(E265&lt;1970,"Abyad w eswed",IF(E265&lt;2000,"70s-90s",IF(E265&lt;2015,"2000s","Gedeed"))))</f>
        <v>2000s</v>
      </c>
      <c r="G265" s="10" t="s">
        <v>57</v>
      </c>
      <c r="H265" s="9" t="s">
        <v>32</v>
      </c>
      <c r="I265" s="11" t="s">
        <v>495</v>
      </c>
      <c r="J265" s="11" t="s">
        <v>767</v>
      </c>
      <c r="K265" s="11"/>
      <c r="L265" s="12" t="str">
        <f aca="false">IF(B265="","",IF(LEFT(TRIM(B265),2)="ال",MID(TRIM(B265),3,1),LEFT(TRIM(B265),1)))</f>
        <v>ك</v>
      </c>
      <c r="M265" s="7" t="n">
        <f aca="false">IF(B265="","",LEN(TRIM(B265))-LEN(SUBSTITUTE(TRIM(B265)," ",""))+1)</f>
        <v>2</v>
      </c>
      <c r="N265" s="10" t="s">
        <v>35</v>
      </c>
    </row>
    <row r="266" customFormat="false" ht="15" hidden="false" customHeight="false" outlineLevel="0" collapsed="false">
      <c r="A266" s="7" t="n">
        <v>265</v>
      </c>
      <c r="B266" s="8" t="s">
        <v>768</v>
      </c>
      <c r="C266" s="9" t="s">
        <v>769</v>
      </c>
      <c r="D266" s="10" t="s">
        <v>751</v>
      </c>
      <c r="E266" s="10" t="n">
        <v>2010</v>
      </c>
      <c r="F266" s="7" t="str">
        <f aca="false">IF(E266="","",IF(E266&lt;1970,"Abyad w eswed",IF(E266&lt;2000,"70s-90s",IF(E266&lt;2015,"2000s","Gedeed"))))</f>
        <v>2000s</v>
      </c>
      <c r="G266" s="10" t="s">
        <v>45</v>
      </c>
      <c r="H266" s="9" t="s">
        <v>114</v>
      </c>
      <c r="I266" s="11" t="s">
        <v>697</v>
      </c>
      <c r="J266" s="11" t="s">
        <v>339</v>
      </c>
      <c r="K266" s="11"/>
      <c r="L266" s="12" t="str">
        <f aca="false">IF(B266="","",IF(LEFT(TRIM(B266),2)="ال",MID(TRIM(B266),3,1),LEFT(TRIM(B266),1)))</f>
        <v>ش</v>
      </c>
      <c r="M266" s="7" t="n">
        <f aca="false">IF(B266="","",LEN(TRIM(B266))-LEN(SUBSTITUTE(TRIM(B266)," ",""))+1)</f>
        <v>3</v>
      </c>
      <c r="N266" s="10" t="s">
        <v>35</v>
      </c>
    </row>
    <row r="267" customFormat="false" ht="15" hidden="false" customHeight="false" outlineLevel="0" collapsed="false">
      <c r="A267" s="7" t="n">
        <v>266</v>
      </c>
      <c r="B267" s="8" t="s">
        <v>770</v>
      </c>
      <c r="C267" s="9" t="s">
        <v>771</v>
      </c>
      <c r="D267" s="10" t="s">
        <v>751</v>
      </c>
      <c r="E267" s="10" t="n">
        <v>2012</v>
      </c>
      <c r="F267" s="7" t="str">
        <f aca="false">IF(E267="","",IF(E267&lt;1970,"Abyad w eswed",IF(E267&lt;2000,"70s-90s",IF(E267&lt;2015,"2000s","Gedeed"))))</f>
        <v>2000s</v>
      </c>
      <c r="G267" s="10" t="s">
        <v>45</v>
      </c>
      <c r="H267" s="9" t="s">
        <v>53</v>
      </c>
      <c r="I267" s="11" t="s">
        <v>697</v>
      </c>
      <c r="J267" s="11" t="s">
        <v>772</v>
      </c>
      <c r="K267" s="11"/>
      <c r="L267" s="12" t="str">
        <f aca="false">IF(B267="","",IF(LEFT(TRIM(B267),2)="ال",MID(TRIM(B267),3,1),LEFT(TRIM(B267),1)))</f>
        <v>خ</v>
      </c>
      <c r="M267" s="7" t="n">
        <f aca="false">IF(B267="","",LEN(TRIM(B267))-LEN(SUBSTITUTE(TRIM(B267)," ",""))+1)</f>
        <v>3</v>
      </c>
      <c r="N267" s="10" t="s">
        <v>35</v>
      </c>
    </row>
    <row r="268" customFormat="false" ht="15" hidden="false" customHeight="false" outlineLevel="0" collapsed="false">
      <c r="A268" s="7" t="n">
        <v>267</v>
      </c>
      <c r="B268" s="8" t="s">
        <v>773</v>
      </c>
      <c r="C268" s="9" t="s">
        <v>774</v>
      </c>
      <c r="D268" s="10" t="s">
        <v>751</v>
      </c>
      <c r="E268" s="10" t="n">
        <v>2012</v>
      </c>
      <c r="F268" s="7" t="str">
        <f aca="false">IF(E268="","",IF(E268&lt;1970,"Abyad w eswed",IF(E268&lt;2000,"70s-90s",IF(E268&lt;2015,"2000s","Gedeed"))))</f>
        <v>2000s</v>
      </c>
      <c r="G268" s="10" t="s">
        <v>45</v>
      </c>
      <c r="H268" s="9" t="s">
        <v>32</v>
      </c>
      <c r="I268" s="11" t="s">
        <v>589</v>
      </c>
      <c r="J268" s="11" t="s">
        <v>775</v>
      </c>
      <c r="K268" s="11"/>
      <c r="L268" s="12" t="str">
        <f aca="false">IF(B268="","",IF(LEFT(TRIM(B268),2)="ال",MID(TRIM(B268),3,1),LEFT(TRIM(B268),1)))</f>
        <v>ش</v>
      </c>
      <c r="M268" s="7" t="n">
        <f aca="false">IF(B268="","",LEN(TRIM(B268))-LEN(SUBSTITUTE(TRIM(B268)," ",""))+1)</f>
        <v>2</v>
      </c>
      <c r="N268" s="10" t="s">
        <v>35</v>
      </c>
    </row>
    <row r="269" customFormat="false" ht="15" hidden="false" customHeight="false" outlineLevel="0" collapsed="false">
      <c r="A269" s="7" t="n">
        <v>268</v>
      </c>
      <c r="B269" s="8" t="s">
        <v>776</v>
      </c>
      <c r="C269" s="9" t="s">
        <v>777</v>
      </c>
      <c r="D269" s="10" t="s">
        <v>751</v>
      </c>
      <c r="E269" s="10" t="n">
        <v>2012</v>
      </c>
      <c r="F269" s="7" t="str">
        <f aca="false">IF(E269="","",IF(E269&lt;1970,"Abyad w eswed",IF(E269&lt;2000,"70s-90s",IF(E269&lt;2015,"2000s","Gedeed"))))</f>
        <v>2000s</v>
      </c>
      <c r="G269" s="10" t="s">
        <v>45</v>
      </c>
      <c r="H269" s="9" t="s">
        <v>32</v>
      </c>
      <c r="I269" s="11" t="s">
        <v>194</v>
      </c>
      <c r="J269" s="11" t="s">
        <v>778</v>
      </c>
      <c r="K269" s="11"/>
      <c r="L269" s="12" t="str">
        <f aca="false">IF(B269="","",IF(LEFT(TRIM(B269),2)="ال",MID(TRIM(B269),3,1),LEFT(TRIM(B269),1)))</f>
        <v>ف</v>
      </c>
      <c r="M269" s="7" t="n">
        <f aca="false">IF(B269="","",LEN(TRIM(B269))-LEN(SUBSTITUTE(TRIM(B269)," ",""))+1)</f>
        <v>4</v>
      </c>
      <c r="N269" s="10" t="s">
        <v>35</v>
      </c>
    </row>
    <row r="270" customFormat="false" ht="15" hidden="false" customHeight="false" outlineLevel="0" collapsed="false">
      <c r="A270" s="7" t="n">
        <v>269</v>
      </c>
      <c r="B270" s="8" t="s">
        <v>779</v>
      </c>
      <c r="C270" s="9" t="s">
        <v>780</v>
      </c>
      <c r="D270" s="10" t="s">
        <v>751</v>
      </c>
      <c r="E270" s="10" t="n">
        <v>2013</v>
      </c>
      <c r="F270" s="7" t="str">
        <f aca="false">IF(E270="","",IF(E270&lt;1970,"Abyad w eswed",IF(E270&lt;2000,"70s-90s",IF(E270&lt;2015,"2000s","Gedeed"))))</f>
        <v>2000s</v>
      </c>
      <c r="G270" s="10" t="s">
        <v>45</v>
      </c>
      <c r="H270" s="9" t="s">
        <v>32</v>
      </c>
      <c r="I270" s="11" t="s">
        <v>194</v>
      </c>
      <c r="J270" s="11"/>
      <c r="K270" s="11"/>
      <c r="L270" s="12" t="str">
        <f aca="false">IF(B270="","",IF(LEFT(TRIM(B270),2)="ال",MID(TRIM(B270),3,1),LEFT(TRIM(B270),1)))</f>
        <v>ع</v>
      </c>
      <c r="M270" s="7" t="n">
        <f aca="false">IF(B270="","",LEN(TRIM(B270))-LEN(SUBSTITUTE(TRIM(B270)," ",""))+1)</f>
        <v>1</v>
      </c>
      <c r="N270" s="10" t="s">
        <v>35</v>
      </c>
    </row>
    <row r="271" customFormat="false" ht="15" hidden="false" customHeight="false" outlineLevel="0" collapsed="false">
      <c r="A271" s="7" t="n">
        <v>270</v>
      </c>
      <c r="B271" s="8" t="s">
        <v>781</v>
      </c>
      <c r="C271" s="9" t="s">
        <v>782</v>
      </c>
      <c r="D271" s="10" t="s">
        <v>751</v>
      </c>
      <c r="E271" s="10" t="n">
        <v>2013</v>
      </c>
      <c r="F271" s="7" t="str">
        <f aca="false">IF(E271="","",IF(E271&lt;1970,"Abyad w eswed",IF(E271&lt;2000,"70s-90s",IF(E271&lt;2015,"2000s","Gedeed"))))</f>
        <v>2000s</v>
      </c>
      <c r="G271" s="10" t="s">
        <v>31</v>
      </c>
      <c r="H271" s="9" t="s">
        <v>53</v>
      </c>
      <c r="I271" s="11" t="s">
        <v>625</v>
      </c>
      <c r="J271" s="11" t="s">
        <v>781</v>
      </c>
      <c r="K271" s="11"/>
      <c r="L271" s="12" t="str">
        <f aca="false">IF(B271="","",IF(LEFT(TRIM(B271),2)="ال",MID(TRIM(B271),3,1),LEFT(TRIM(B271),1)))</f>
        <v>ذ</v>
      </c>
      <c r="M271" s="7" t="n">
        <f aca="false">IF(B271="","",LEN(TRIM(B271))-LEN(SUBSTITUTE(TRIM(B271)," ",""))+1)</f>
        <v>1</v>
      </c>
      <c r="N271" s="10" t="s">
        <v>35</v>
      </c>
    </row>
    <row r="272" customFormat="false" ht="15" hidden="false" customHeight="false" outlineLevel="0" collapsed="false">
      <c r="A272" s="7" t="n">
        <v>271</v>
      </c>
      <c r="B272" s="8" t="s">
        <v>783</v>
      </c>
      <c r="C272" s="9" t="s">
        <v>784</v>
      </c>
      <c r="D272" s="10" t="s">
        <v>751</v>
      </c>
      <c r="E272" s="10" t="n">
        <v>2014</v>
      </c>
      <c r="F272" s="7" t="str">
        <f aca="false">IF(E272="","",IF(E272&lt;1970,"Abyad w eswed",IF(E272&lt;2000,"70s-90s",IF(E272&lt;2015,"2000s","Gedeed"))))</f>
        <v>2000s</v>
      </c>
      <c r="G272" s="10" t="s">
        <v>31</v>
      </c>
      <c r="H272" s="9" t="s">
        <v>53</v>
      </c>
      <c r="I272" s="11" t="s">
        <v>697</v>
      </c>
      <c r="J272" s="11"/>
      <c r="K272" s="11"/>
      <c r="L272" s="12" t="str">
        <f aca="false">IF(B272="","",IF(LEFT(TRIM(B272),2)="ال",MID(TRIM(B272),3,1),LEFT(TRIM(B272),1)))</f>
        <v>د</v>
      </c>
      <c r="M272" s="7" t="n">
        <f aca="false">IF(B272="","",LEN(TRIM(B272))-LEN(SUBSTITUTE(TRIM(B272)," ",""))+1)</f>
        <v>1</v>
      </c>
      <c r="N272" s="10" t="s">
        <v>35</v>
      </c>
    </row>
    <row r="273" customFormat="false" ht="15" hidden="false" customHeight="false" outlineLevel="0" collapsed="false">
      <c r="A273" s="7" t="n">
        <v>272</v>
      </c>
      <c r="B273" s="8" t="s">
        <v>785</v>
      </c>
      <c r="C273" s="9" t="s">
        <v>786</v>
      </c>
      <c r="D273" s="10" t="s">
        <v>751</v>
      </c>
      <c r="E273" s="10" t="n">
        <v>2014</v>
      </c>
      <c r="F273" s="7" t="str">
        <f aca="false">IF(E273="","",IF(E273&lt;1970,"Abyad w eswed",IF(E273&lt;2000,"70s-90s",IF(E273&lt;2015,"2000s","Gedeed"))))</f>
        <v>2000s</v>
      </c>
      <c r="G273" s="10" t="s">
        <v>45</v>
      </c>
      <c r="H273" s="9" t="s">
        <v>53</v>
      </c>
      <c r="I273" s="11" t="s">
        <v>625</v>
      </c>
      <c r="J273" s="11" t="s">
        <v>787</v>
      </c>
      <c r="K273" s="11"/>
      <c r="L273" s="12" t="str">
        <f aca="false">IF(B273="","",IF(LEFT(TRIM(B273),2)="ال",MID(TRIM(B273),3,1),LEFT(TRIM(B273),1)))</f>
        <v>س</v>
      </c>
      <c r="M273" s="7" t="n">
        <f aca="false">IF(B273="","",LEN(TRIM(B273))-LEN(SUBSTITUTE(TRIM(B273)," ",""))+1)</f>
        <v>2</v>
      </c>
      <c r="N273" s="10" t="s">
        <v>35</v>
      </c>
    </row>
    <row r="274" customFormat="false" ht="15" hidden="false" customHeight="false" outlineLevel="0" collapsed="false">
      <c r="A274" s="7" t="n">
        <v>273</v>
      </c>
      <c r="B274" s="8" t="s">
        <v>788</v>
      </c>
      <c r="C274" s="9" t="s">
        <v>789</v>
      </c>
      <c r="D274" s="10" t="s">
        <v>751</v>
      </c>
      <c r="E274" s="10" t="n">
        <v>2014</v>
      </c>
      <c r="F274" s="7" t="str">
        <f aca="false">IF(E274="","",IF(E274&lt;1970,"Abyad w eswed",IF(E274&lt;2000,"70s-90s",IF(E274&lt;2015,"2000s","Gedeed"))))</f>
        <v>2000s</v>
      </c>
      <c r="G274" s="10" t="s">
        <v>45</v>
      </c>
      <c r="H274" s="9" t="s">
        <v>32</v>
      </c>
      <c r="I274" s="11" t="s">
        <v>194</v>
      </c>
      <c r="J274" s="11"/>
      <c r="K274" s="11"/>
      <c r="L274" s="12" t="str">
        <f aca="false">IF(B274="","",IF(LEFT(TRIM(B274),2)="ال",MID(TRIM(B274),3,1),LEFT(TRIM(B274),1)))</f>
        <v>ص</v>
      </c>
      <c r="M274" s="7" t="n">
        <f aca="false">IF(B274="","",LEN(TRIM(B274))-LEN(SUBSTITUTE(TRIM(B274)," ",""))+1)</f>
        <v>2</v>
      </c>
      <c r="N274" s="10" t="s">
        <v>35</v>
      </c>
    </row>
    <row r="275" customFormat="false" ht="15" hidden="false" customHeight="false" outlineLevel="0" collapsed="false">
      <c r="A275" s="7" t="n">
        <v>274</v>
      </c>
      <c r="B275" s="8" t="s">
        <v>790</v>
      </c>
      <c r="C275" s="9" t="s">
        <v>791</v>
      </c>
      <c r="D275" s="10" t="s">
        <v>751</v>
      </c>
      <c r="E275" s="10" t="n">
        <v>2015</v>
      </c>
      <c r="F275" s="7" t="str">
        <f aca="false">IF(E275="","",IF(E275&lt;1970,"Abyad w eswed",IF(E275&lt;2000,"70s-90s",IF(E275&lt;2015,"2000s","Gedeed"))))</f>
        <v>Gedeed</v>
      </c>
      <c r="G275" s="10" t="s">
        <v>45</v>
      </c>
      <c r="H275" s="9" t="s">
        <v>53</v>
      </c>
      <c r="I275" s="11" t="s">
        <v>625</v>
      </c>
      <c r="J275" s="11"/>
      <c r="K275" s="11"/>
      <c r="L275" s="12" t="str">
        <f aca="false">IF(B275="","",IF(LEFT(TRIM(B275),2)="ال",MID(TRIM(B275),3,1),LEFT(TRIM(B275),1)))</f>
        <v>ت</v>
      </c>
      <c r="M275" s="7" t="n">
        <f aca="false">IF(B275="","",LEN(TRIM(B275))-LEN(SUBSTITUTE(TRIM(B275)," ",""))+1)</f>
        <v>2</v>
      </c>
      <c r="N275" s="10" t="s">
        <v>35</v>
      </c>
    </row>
    <row r="276" customFormat="false" ht="15" hidden="false" customHeight="false" outlineLevel="0" collapsed="false">
      <c r="A276" s="7" t="n">
        <v>275</v>
      </c>
      <c r="B276" s="8" t="s">
        <v>792</v>
      </c>
      <c r="C276" s="9" t="s">
        <v>793</v>
      </c>
      <c r="D276" s="10" t="s">
        <v>751</v>
      </c>
      <c r="E276" s="10" t="n">
        <v>2015</v>
      </c>
      <c r="F276" s="7" t="str">
        <f aca="false">IF(E276="","",IF(E276&lt;1970,"Abyad w eswed",IF(E276&lt;2000,"70s-90s",IF(E276&lt;2015,"2000s","Gedeed"))))</f>
        <v>Gedeed</v>
      </c>
      <c r="G276" s="10" t="s">
        <v>45</v>
      </c>
      <c r="H276" s="9" t="s">
        <v>53</v>
      </c>
      <c r="I276" s="11" t="s">
        <v>794</v>
      </c>
      <c r="J276" s="11"/>
      <c r="K276" s="11"/>
      <c r="L276" s="12" t="str">
        <f aca="false">IF(B276="","",IF(LEFT(TRIM(B276),2)="ال",MID(TRIM(B276),3,1),LEFT(TRIM(B276),1)))</f>
        <v>ح</v>
      </c>
      <c r="M276" s="7" t="n">
        <f aca="false">IF(B276="","",LEN(TRIM(B276))-LEN(SUBSTITUTE(TRIM(B276)," ",""))+1)</f>
        <v>2</v>
      </c>
      <c r="N276" s="10" t="s">
        <v>35</v>
      </c>
    </row>
    <row r="277" customFormat="false" ht="15" hidden="false" customHeight="false" outlineLevel="0" collapsed="false">
      <c r="A277" s="7" t="n">
        <v>276</v>
      </c>
      <c r="B277" s="8" t="s">
        <v>795</v>
      </c>
      <c r="C277" s="9" t="s">
        <v>796</v>
      </c>
      <c r="D277" s="10" t="s">
        <v>751</v>
      </c>
      <c r="E277" s="10" t="n">
        <v>2016</v>
      </c>
      <c r="F277" s="7" t="str">
        <f aca="false">IF(E277="","",IF(E277&lt;1970,"Abyad w eswed",IF(E277&lt;2000,"70s-90s",IF(E277&lt;2015,"2000s","Gedeed"))))</f>
        <v>Gedeed</v>
      </c>
      <c r="G277" s="10" t="s">
        <v>57</v>
      </c>
      <c r="H277" s="9" t="s">
        <v>251</v>
      </c>
      <c r="I277" s="11" t="s">
        <v>582</v>
      </c>
      <c r="J277" s="11" t="s">
        <v>797</v>
      </c>
      <c r="K277" s="11"/>
      <c r="L277" s="12" t="str">
        <f aca="false">IF(B277="","",IF(LEFT(TRIM(B277),2)="ال",MID(TRIM(B277),3,1),LEFT(TRIM(B277),1)))</f>
        <v>أ</v>
      </c>
      <c r="M277" s="7" t="n">
        <f aca="false">IF(B277="","",LEN(TRIM(B277))-LEN(SUBSTITUTE(TRIM(B277)," ",""))+1)</f>
        <v>1</v>
      </c>
      <c r="N277" s="10" t="s">
        <v>35</v>
      </c>
    </row>
    <row r="278" customFormat="false" ht="15" hidden="false" customHeight="false" outlineLevel="0" collapsed="false">
      <c r="A278" s="7" t="n">
        <v>277</v>
      </c>
      <c r="B278" s="8" t="s">
        <v>798</v>
      </c>
      <c r="C278" s="9" t="s">
        <v>799</v>
      </c>
      <c r="D278" s="10" t="s">
        <v>751</v>
      </c>
      <c r="E278" s="10" t="n">
        <v>2016</v>
      </c>
      <c r="F278" s="7" t="str">
        <f aca="false">IF(E278="","",IF(E278&lt;1970,"Abyad w eswed",IF(E278&lt;2000,"70s-90s",IF(E278&lt;2015,"2000s","Gedeed"))))</f>
        <v>Gedeed</v>
      </c>
      <c r="G278" s="10" t="s">
        <v>45</v>
      </c>
      <c r="H278" s="9" t="s">
        <v>32</v>
      </c>
      <c r="I278" s="11" t="s">
        <v>194</v>
      </c>
      <c r="J278" s="11" t="s">
        <v>800</v>
      </c>
      <c r="K278" s="11"/>
      <c r="L278" s="12" t="str">
        <f aca="false">IF(B278="","",IF(LEFT(TRIM(B278),2)="ال",MID(TRIM(B278),3,1),LEFT(TRIM(B278),1)))</f>
        <v>م</v>
      </c>
      <c r="M278" s="7" t="n">
        <f aca="false">IF(B278="","",LEN(TRIM(B278))-LEN(SUBSTITUTE(TRIM(B278)," ",""))+1)</f>
        <v>2</v>
      </c>
      <c r="N278" s="10" t="s">
        <v>35</v>
      </c>
    </row>
    <row r="279" customFormat="false" ht="15" hidden="false" customHeight="false" outlineLevel="0" collapsed="false">
      <c r="A279" s="7" t="n">
        <v>278</v>
      </c>
      <c r="B279" s="8" t="s">
        <v>801</v>
      </c>
      <c r="C279" s="9" t="s">
        <v>802</v>
      </c>
      <c r="D279" s="10" t="s">
        <v>751</v>
      </c>
      <c r="E279" s="10" t="n">
        <v>2016</v>
      </c>
      <c r="F279" s="7" t="str">
        <f aca="false">IF(E279="","",IF(E279&lt;1970,"Abyad w eswed",IF(E279&lt;2000,"70s-90s",IF(E279&lt;2015,"2000s","Gedeed"))))</f>
        <v>Gedeed</v>
      </c>
      <c r="G279" s="10" t="s">
        <v>45</v>
      </c>
      <c r="H279" s="9" t="s">
        <v>53</v>
      </c>
      <c r="I279" s="11" t="s">
        <v>697</v>
      </c>
      <c r="J279" s="11" t="s">
        <v>801</v>
      </c>
      <c r="K279" s="11"/>
      <c r="L279" s="12" t="str">
        <f aca="false">IF(B279="","",IF(LEFT(TRIM(B279),2)="ال",MID(TRIM(B279),3,1),LEFT(TRIM(B279),1)))</f>
        <v>و</v>
      </c>
      <c r="M279" s="7" t="n">
        <f aca="false">IF(B279="","",LEN(TRIM(B279))-LEN(SUBSTITUTE(TRIM(B279)," ",""))+1)</f>
        <v>1</v>
      </c>
      <c r="N279" s="10" t="s">
        <v>35</v>
      </c>
    </row>
    <row r="280" customFormat="false" ht="15" hidden="false" customHeight="false" outlineLevel="0" collapsed="false">
      <c r="A280" s="7" t="n">
        <v>279</v>
      </c>
      <c r="B280" s="8" t="s">
        <v>803</v>
      </c>
      <c r="C280" s="9" t="s">
        <v>804</v>
      </c>
      <c r="D280" s="10" t="s">
        <v>751</v>
      </c>
      <c r="E280" s="10" t="n">
        <v>2016</v>
      </c>
      <c r="F280" s="7" t="str">
        <f aca="false">IF(E280="","",IF(E280&lt;1970,"Abyad w eswed",IF(E280&lt;2000,"70s-90s",IF(E280&lt;2015,"2000s","Gedeed"))))</f>
        <v>Gedeed</v>
      </c>
      <c r="G280" s="10" t="s">
        <v>45</v>
      </c>
      <c r="H280" s="9" t="s">
        <v>53</v>
      </c>
      <c r="I280" s="11" t="s">
        <v>475</v>
      </c>
      <c r="J280" s="11" t="s">
        <v>805</v>
      </c>
      <c r="K280" s="11"/>
      <c r="L280" s="12" t="str">
        <f aca="false">IF(B280="","",IF(LEFT(TRIM(B280),2)="ال",MID(TRIM(B280),3,1),LEFT(TRIM(B280),1)))</f>
        <v>ي</v>
      </c>
      <c r="M280" s="7" t="n">
        <f aca="false">IF(B280="","",LEN(TRIM(B280))-LEN(SUBSTITUTE(TRIM(B280)," ",""))+1)</f>
        <v>3</v>
      </c>
      <c r="N280" s="10" t="s">
        <v>35</v>
      </c>
    </row>
    <row r="281" customFormat="false" ht="15" hidden="false" customHeight="false" outlineLevel="0" collapsed="false">
      <c r="A281" s="7" t="n">
        <v>280</v>
      </c>
      <c r="B281" s="8" t="s">
        <v>806</v>
      </c>
      <c r="C281" s="9" t="s">
        <v>807</v>
      </c>
      <c r="D281" s="10" t="s">
        <v>751</v>
      </c>
      <c r="E281" s="10" t="n">
        <v>2017</v>
      </c>
      <c r="F281" s="7" t="str">
        <f aca="false">IF(E281="","",IF(E281&lt;1970,"Abyad w eswed",IF(E281&lt;2000,"70s-90s",IF(E281&lt;2015,"2000s","Gedeed"))))</f>
        <v>Gedeed</v>
      </c>
      <c r="G281" s="10" t="s">
        <v>45</v>
      </c>
      <c r="H281" s="9" t="s">
        <v>104</v>
      </c>
      <c r="I281" s="11" t="s">
        <v>406</v>
      </c>
      <c r="J281" s="11"/>
      <c r="K281" s="11"/>
      <c r="L281" s="12" t="str">
        <f aca="false">IF(B281="","",IF(LEFT(TRIM(B281),2)="ال",MID(TRIM(B281),3,1),LEFT(TRIM(B281),1)))</f>
        <v>أ</v>
      </c>
      <c r="M281" s="7" t="n">
        <f aca="false">IF(B281="","",LEN(TRIM(B281))-LEN(SUBSTITUTE(TRIM(B281)," ",""))+1)</f>
        <v>2</v>
      </c>
      <c r="N281" s="10" t="s">
        <v>35</v>
      </c>
    </row>
    <row r="282" customFormat="false" ht="15" hidden="false" customHeight="false" outlineLevel="0" collapsed="false">
      <c r="A282" s="7" t="n">
        <v>281</v>
      </c>
      <c r="B282" s="8" t="s">
        <v>808</v>
      </c>
      <c r="C282" s="9" t="s">
        <v>809</v>
      </c>
      <c r="D282" s="10" t="s">
        <v>751</v>
      </c>
      <c r="E282" s="10" t="n">
        <v>2017</v>
      </c>
      <c r="F282" s="7" t="str">
        <f aca="false">IF(E282="","",IF(E282&lt;1970,"Abyad w eswed",IF(E282&lt;2000,"70s-90s",IF(E282&lt;2015,"2000s","Gedeed"))))</f>
        <v>Gedeed</v>
      </c>
      <c r="G282" s="10" t="s">
        <v>45</v>
      </c>
      <c r="H282" s="9" t="s">
        <v>32</v>
      </c>
      <c r="I282" s="11" t="s">
        <v>194</v>
      </c>
      <c r="J282" s="11" t="s">
        <v>810</v>
      </c>
      <c r="K282" s="11"/>
      <c r="L282" s="12" t="str">
        <f aca="false">IF(B282="","",IF(LEFT(TRIM(B282),2)="ال",MID(TRIM(B282),3,1),LEFT(TRIM(B282),1)))</f>
        <v>ع</v>
      </c>
      <c r="M282" s="7" t="n">
        <f aca="false">IF(B282="","",LEN(TRIM(B282))-LEN(SUBSTITUTE(TRIM(B282)," ",""))+1)</f>
        <v>3</v>
      </c>
      <c r="N282" s="10" t="s">
        <v>35</v>
      </c>
    </row>
    <row r="283" customFormat="false" ht="15" hidden="false" customHeight="false" outlineLevel="0" collapsed="false">
      <c r="A283" s="7" t="n">
        <v>282</v>
      </c>
      <c r="B283" s="8" t="s">
        <v>811</v>
      </c>
      <c r="C283" s="9" t="s">
        <v>812</v>
      </c>
      <c r="D283" s="10" t="s">
        <v>751</v>
      </c>
      <c r="E283" s="10" t="n">
        <v>2017</v>
      </c>
      <c r="F283" s="7" t="str">
        <f aca="false">IF(E283="","",IF(E283&lt;1970,"Abyad w eswed",IF(E283&lt;2000,"70s-90s",IF(E283&lt;2015,"2000s","Gedeed"))))</f>
        <v>Gedeed</v>
      </c>
      <c r="G283" s="10" t="s">
        <v>57</v>
      </c>
      <c r="H283" s="9" t="s">
        <v>251</v>
      </c>
      <c r="I283" s="11" t="s">
        <v>661</v>
      </c>
      <c r="J283" s="11" t="s">
        <v>813</v>
      </c>
      <c r="K283" s="11"/>
      <c r="L283" s="12" t="str">
        <f aca="false">IF(B283="","",IF(LEFT(TRIM(B283),2)="ال",MID(TRIM(B283),3,1),LEFT(TRIM(B283),1)))</f>
        <v>ك</v>
      </c>
      <c r="M283" s="7" t="n">
        <f aca="false">IF(B283="","",LEN(TRIM(B283))-LEN(SUBSTITUTE(TRIM(B283)," ",""))+1)</f>
        <v>1</v>
      </c>
      <c r="N283" s="10" t="s">
        <v>35</v>
      </c>
    </row>
    <row r="284" customFormat="false" ht="15" hidden="false" customHeight="false" outlineLevel="0" collapsed="false">
      <c r="A284" s="7" t="n">
        <v>283</v>
      </c>
      <c r="B284" s="8" t="s">
        <v>814</v>
      </c>
      <c r="C284" s="9" t="s">
        <v>815</v>
      </c>
      <c r="D284" s="10" t="s">
        <v>751</v>
      </c>
      <c r="E284" s="10" t="n">
        <v>2018</v>
      </c>
      <c r="F284" s="7" t="str">
        <f aca="false">IF(E284="","",IF(E284&lt;1970,"Abyad w eswed",IF(E284&lt;2000,"70s-90s",IF(E284&lt;2015,"2000s","Gedeed"))))</f>
        <v>Gedeed</v>
      </c>
      <c r="G284" s="10" t="s">
        <v>45</v>
      </c>
      <c r="H284" s="9" t="s">
        <v>32</v>
      </c>
      <c r="I284" s="11" t="s">
        <v>816</v>
      </c>
      <c r="J284" s="11"/>
      <c r="K284" s="11"/>
      <c r="L284" s="12" t="str">
        <f aca="false">IF(B284="","",IF(LEFT(TRIM(B284),2)="ال",MID(TRIM(B284),3,1),LEFT(TRIM(B284),1)))</f>
        <v>و</v>
      </c>
      <c r="M284" s="7" t="n">
        <f aca="false">IF(B284="","",LEN(TRIM(B284))-LEN(SUBSTITUTE(TRIM(B284)," ",""))+1)</f>
        <v>1</v>
      </c>
      <c r="N284" s="10" t="s">
        <v>42</v>
      </c>
    </row>
    <row r="285" customFormat="false" ht="15" hidden="false" customHeight="false" outlineLevel="0" collapsed="false">
      <c r="A285" s="7" t="n">
        <v>284</v>
      </c>
      <c r="B285" s="8" t="s">
        <v>817</v>
      </c>
      <c r="C285" s="9" t="s">
        <v>818</v>
      </c>
      <c r="D285" s="10" t="s">
        <v>751</v>
      </c>
      <c r="E285" s="10" t="n">
        <v>2018</v>
      </c>
      <c r="F285" s="7" t="str">
        <f aca="false">IF(E285="","",IF(E285&lt;1970,"Abyad w eswed",IF(E285&lt;2000,"70s-90s",IF(E285&lt;2015,"2000s","Gedeed"))))</f>
        <v>Gedeed</v>
      </c>
      <c r="G285" s="10" t="s">
        <v>45</v>
      </c>
      <c r="H285" s="9" t="s">
        <v>32</v>
      </c>
      <c r="I285" s="11" t="s">
        <v>697</v>
      </c>
      <c r="J285" s="11"/>
      <c r="K285" s="11"/>
      <c r="L285" s="12" t="str">
        <f aca="false">IF(B285="","",IF(LEFT(TRIM(B285),2)="ال",MID(TRIM(B285),3,1),LEFT(TRIM(B285),1)))</f>
        <v>ب</v>
      </c>
      <c r="M285" s="7" t="n">
        <f aca="false">IF(B285="","",LEN(TRIM(B285))-LEN(SUBSTITUTE(TRIM(B285)," ",""))+1)</f>
        <v>2</v>
      </c>
      <c r="N285" s="10" t="s">
        <v>35</v>
      </c>
    </row>
    <row r="286" customFormat="false" ht="15" hidden="false" customHeight="false" outlineLevel="0" collapsed="false">
      <c r="A286" s="7" t="n">
        <v>285</v>
      </c>
      <c r="B286" s="8" t="s">
        <v>819</v>
      </c>
      <c r="C286" s="9" t="s">
        <v>820</v>
      </c>
      <c r="D286" s="10" t="s">
        <v>751</v>
      </c>
      <c r="E286" s="10" t="n">
        <v>2018</v>
      </c>
      <c r="F286" s="7" t="str">
        <f aca="false">IF(E286="","",IF(E286&lt;1970,"Abyad w eswed",IF(E286&lt;2000,"70s-90s",IF(E286&lt;2015,"2000s","Gedeed"))))</f>
        <v>Gedeed</v>
      </c>
      <c r="G286" s="10" t="s">
        <v>45</v>
      </c>
      <c r="H286" s="9" t="s">
        <v>53</v>
      </c>
      <c r="I286" s="11" t="s">
        <v>633</v>
      </c>
      <c r="J286" s="11" t="s">
        <v>819</v>
      </c>
      <c r="K286" s="11"/>
      <c r="L286" s="12" t="str">
        <f aca="false">IF(B286="","",IF(LEFT(TRIM(B286),2)="ال",MID(TRIM(B286),3,1),LEFT(TRIM(B286),1)))</f>
        <v>ط</v>
      </c>
      <c r="M286" s="7" t="n">
        <f aca="false">IF(B286="","",LEN(TRIM(B286))-LEN(SUBSTITUTE(TRIM(B286)," ",""))+1)</f>
        <v>1</v>
      </c>
      <c r="N286" s="10" t="s">
        <v>35</v>
      </c>
    </row>
    <row r="287" customFormat="false" ht="15" hidden="false" customHeight="false" outlineLevel="0" collapsed="false">
      <c r="A287" s="7" t="n">
        <v>286</v>
      </c>
      <c r="B287" s="8" t="s">
        <v>821</v>
      </c>
      <c r="C287" s="9" t="s">
        <v>822</v>
      </c>
      <c r="D287" s="10" t="s">
        <v>751</v>
      </c>
      <c r="E287" s="10" t="n">
        <v>2018</v>
      </c>
      <c r="F287" s="7" t="str">
        <f aca="false">IF(E287="","",IF(E287&lt;1970,"Abyad w eswed",IF(E287&lt;2000,"70s-90s",IF(E287&lt;2015,"2000s","Gedeed"))))</f>
        <v>Gedeed</v>
      </c>
      <c r="G287" s="10" t="s">
        <v>45</v>
      </c>
      <c r="H287" s="9" t="s">
        <v>53</v>
      </c>
      <c r="I287" s="11" t="s">
        <v>194</v>
      </c>
      <c r="J287" s="11"/>
      <c r="K287" s="11"/>
      <c r="L287" s="12" t="str">
        <f aca="false">IF(B287="","",IF(LEFT(TRIM(B287),2)="ال",MID(TRIM(B287),3,1),LEFT(TRIM(B287),1)))</f>
        <v>ع</v>
      </c>
      <c r="M287" s="7" t="n">
        <f aca="false">IF(B287="","",LEN(TRIM(B287))-LEN(SUBSTITUTE(TRIM(B287)," ",""))+1)</f>
        <v>2</v>
      </c>
      <c r="N287" s="10" t="s">
        <v>35</v>
      </c>
    </row>
    <row r="288" customFormat="false" ht="15" hidden="false" customHeight="false" outlineLevel="0" collapsed="false">
      <c r="A288" s="7" t="n">
        <v>287</v>
      </c>
      <c r="B288" s="8" t="s">
        <v>823</v>
      </c>
      <c r="C288" s="9" t="s">
        <v>824</v>
      </c>
      <c r="D288" s="10" t="s">
        <v>751</v>
      </c>
      <c r="E288" s="10" t="n">
        <v>2018</v>
      </c>
      <c r="F288" s="7" t="str">
        <f aca="false">IF(E288="","",IF(E288&lt;1970,"Abyad w eswed",IF(E288&lt;2000,"70s-90s",IF(E288&lt;2015,"2000s","Gedeed"))))</f>
        <v>Gedeed</v>
      </c>
      <c r="G288" s="10" t="s">
        <v>45</v>
      </c>
      <c r="H288" s="9" t="s">
        <v>251</v>
      </c>
      <c r="I288" s="11" t="s">
        <v>582</v>
      </c>
      <c r="J288" s="11" t="s">
        <v>825</v>
      </c>
      <c r="K288" s="11"/>
      <c r="L288" s="12" t="str">
        <f aca="false">IF(B288="","",IF(LEFT(TRIM(B288),2)="ال",MID(TRIM(B288),3,1),LEFT(TRIM(B288),1)))</f>
        <v>ن</v>
      </c>
      <c r="M288" s="7" t="n">
        <f aca="false">IF(B288="","",LEN(TRIM(B288))-LEN(SUBSTITUTE(TRIM(B288)," ",""))+1)</f>
        <v>2</v>
      </c>
      <c r="N288" s="10" t="s">
        <v>35</v>
      </c>
    </row>
    <row r="289" customFormat="false" ht="15" hidden="false" customHeight="false" outlineLevel="0" collapsed="false">
      <c r="A289" s="7" t="n">
        <v>288</v>
      </c>
      <c r="B289" s="8" t="s">
        <v>826</v>
      </c>
      <c r="C289" s="9" t="s">
        <v>827</v>
      </c>
      <c r="D289" s="10" t="s">
        <v>751</v>
      </c>
      <c r="E289" s="10" t="n">
        <v>2019</v>
      </c>
      <c r="F289" s="7" t="str">
        <f aca="false">IF(E289="","",IF(E289&lt;1970,"Abyad w eswed",IF(E289&lt;2000,"70s-90s",IF(E289&lt;2015,"2000s","Gedeed"))))</f>
        <v>Gedeed</v>
      </c>
      <c r="G289" s="10" t="s">
        <v>45</v>
      </c>
      <c r="H289" s="9" t="s">
        <v>32</v>
      </c>
      <c r="I289" s="11" t="s">
        <v>518</v>
      </c>
      <c r="J289" s="11" t="s">
        <v>828</v>
      </c>
      <c r="K289" s="11"/>
      <c r="L289" s="12" t="str">
        <f aca="false">IF(B289="","",IF(LEFT(TRIM(B289),2)="ال",MID(TRIM(B289),3,1),LEFT(TRIM(B289),1)))</f>
        <v>و</v>
      </c>
      <c r="M289" s="7" t="n">
        <f aca="false">IF(B289="","",LEN(TRIM(B289))-LEN(SUBSTITUTE(TRIM(B289)," ",""))+1)</f>
        <v>3</v>
      </c>
      <c r="N289" s="10" t="s">
        <v>35</v>
      </c>
    </row>
    <row r="290" customFormat="false" ht="15" hidden="false" customHeight="false" outlineLevel="0" collapsed="false">
      <c r="A290" s="7" t="n">
        <v>289</v>
      </c>
      <c r="B290" s="8" t="s">
        <v>829</v>
      </c>
      <c r="C290" s="9" t="s">
        <v>830</v>
      </c>
      <c r="D290" s="10" t="s">
        <v>751</v>
      </c>
      <c r="E290" s="10" t="n">
        <v>2020</v>
      </c>
      <c r="F290" s="7" t="str">
        <f aca="false">IF(E290="","",IF(E290&lt;1970,"Abyad w eswed",IF(E290&lt;2000,"70s-90s",IF(E290&lt;2015,"2000s","Gedeed"))))</f>
        <v>Gedeed</v>
      </c>
      <c r="G290" s="10" t="s">
        <v>57</v>
      </c>
      <c r="H290" s="9" t="s">
        <v>251</v>
      </c>
      <c r="I290" s="11" t="s">
        <v>661</v>
      </c>
      <c r="J290" s="11" t="s">
        <v>831</v>
      </c>
      <c r="K290" s="11"/>
      <c r="L290" s="12" t="str">
        <f aca="false">IF(B290="","",IF(LEFT(TRIM(B290),2)="ال",MID(TRIM(B290),3,1),LEFT(TRIM(B290),1)))</f>
        <v>ا</v>
      </c>
      <c r="M290" s="7" t="n">
        <f aca="false">IF(B290="","",LEN(TRIM(B290))-LEN(SUBSTITUTE(TRIM(B290)," ",""))+1)</f>
        <v>1</v>
      </c>
      <c r="N290" s="10" t="s">
        <v>35</v>
      </c>
    </row>
    <row r="291" customFormat="false" ht="15" hidden="false" customHeight="false" outlineLevel="0" collapsed="false">
      <c r="A291" s="7" t="n">
        <v>290</v>
      </c>
      <c r="B291" s="8" t="s">
        <v>832</v>
      </c>
      <c r="C291" s="9" t="s">
        <v>833</v>
      </c>
      <c r="D291" s="10" t="s">
        <v>751</v>
      </c>
      <c r="E291" s="10" t="n">
        <v>2020</v>
      </c>
      <c r="F291" s="7" t="str">
        <f aca="false">IF(E291="","",IF(E291&lt;1970,"Abyad w eswed",IF(E291&lt;2000,"70s-90s",IF(E291&lt;2015,"2000s","Gedeed"))))</f>
        <v>Gedeed</v>
      </c>
      <c r="G291" s="10" t="s">
        <v>57</v>
      </c>
      <c r="H291" s="9" t="s">
        <v>53</v>
      </c>
      <c r="I291" s="11" t="s">
        <v>582</v>
      </c>
      <c r="J291" s="11" t="s">
        <v>834</v>
      </c>
      <c r="K291" s="11"/>
      <c r="L291" s="12" t="str">
        <f aca="false">IF(B291="","",IF(LEFT(TRIM(B291),2)="ال",MID(TRIM(B291),3,1),LEFT(TRIM(B291),1)))</f>
        <v>ب</v>
      </c>
      <c r="M291" s="7" t="n">
        <f aca="false">IF(B291="","",LEN(TRIM(B291))-LEN(SUBSTITUTE(TRIM(B291)," ",""))+1)</f>
        <v>1</v>
      </c>
      <c r="N291" s="10" t="s">
        <v>35</v>
      </c>
    </row>
    <row r="292" customFormat="false" ht="15" hidden="false" customHeight="false" outlineLevel="0" collapsed="false">
      <c r="A292" s="7" t="n">
        <v>291</v>
      </c>
      <c r="B292" s="8" t="s">
        <v>835</v>
      </c>
      <c r="C292" s="9" t="s">
        <v>836</v>
      </c>
      <c r="D292" s="10" t="s">
        <v>751</v>
      </c>
      <c r="E292" s="10" t="n">
        <v>2020</v>
      </c>
      <c r="F292" s="7" t="str">
        <f aca="false">IF(E292="","",IF(E292&lt;1970,"Abyad w eswed",IF(E292&lt;2000,"70s-90s",IF(E292&lt;2015,"2000s","Gedeed"))))</f>
        <v>Gedeed</v>
      </c>
      <c r="G292" s="10" t="s">
        <v>45</v>
      </c>
      <c r="H292" s="9" t="s">
        <v>32</v>
      </c>
      <c r="I292" s="11" t="s">
        <v>628</v>
      </c>
      <c r="J292" s="11"/>
      <c r="K292" s="11"/>
      <c r="L292" s="12" t="str">
        <f aca="false">IF(B292="","",IF(LEFT(TRIM(B292),2)="ال",MID(TRIM(B292),3,1),LEFT(TRIM(B292),1)))</f>
        <v>ل</v>
      </c>
      <c r="M292" s="7" t="n">
        <f aca="false">IF(B292="","",LEN(TRIM(B292))-LEN(SUBSTITUTE(TRIM(B292)," ",""))+1)</f>
        <v>1</v>
      </c>
      <c r="N292" s="10" t="s">
        <v>35</v>
      </c>
    </row>
    <row r="293" customFormat="false" ht="15" hidden="false" customHeight="false" outlineLevel="0" collapsed="false">
      <c r="A293" s="7" t="n">
        <v>292</v>
      </c>
      <c r="B293" s="8" t="s">
        <v>837</v>
      </c>
      <c r="C293" s="9" t="s">
        <v>838</v>
      </c>
      <c r="D293" s="10" t="s">
        <v>751</v>
      </c>
      <c r="E293" s="10" t="n">
        <v>2020</v>
      </c>
      <c r="F293" s="7" t="str">
        <f aca="false">IF(E293="","",IF(E293&lt;1970,"Abyad w eswed",IF(E293&lt;2000,"70s-90s",IF(E293&lt;2015,"2000s","Gedeed"))))</f>
        <v>Gedeed</v>
      </c>
      <c r="G293" s="10" t="s">
        <v>31</v>
      </c>
      <c r="H293" s="9" t="s">
        <v>53</v>
      </c>
      <c r="I293" s="11" t="s">
        <v>839</v>
      </c>
      <c r="J293" s="11"/>
      <c r="K293" s="11"/>
      <c r="L293" s="12" t="str">
        <f aca="false">IF(B293="","",IF(LEFT(TRIM(B293),2)="ال",MID(TRIM(B293),3,1),LEFT(TRIM(B293),1)))</f>
        <v>ن</v>
      </c>
      <c r="M293" s="7" t="n">
        <f aca="false">IF(B293="","",LEN(TRIM(B293))-LEN(SUBSTITUTE(TRIM(B293)," ",""))+1)</f>
        <v>1</v>
      </c>
      <c r="N293" s="10" t="s">
        <v>35</v>
      </c>
    </row>
    <row r="294" customFormat="false" ht="15" hidden="false" customHeight="false" outlineLevel="0" collapsed="false">
      <c r="A294" s="7" t="n">
        <v>293</v>
      </c>
      <c r="B294" s="8" t="s">
        <v>840</v>
      </c>
      <c r="C294" s="9" t="s">
        <v>841</v>
      </c>
      <c r="D294" s="10" t="s">
        <v>751</v>
      </c>
      <c r="E294" s="10" t="n">
        <v>2020</v>
      </c>
      <c r="F294" s="7" t="str">
        <f aca="false">IF(E294="","",IF(E294&lt;1970,"Abyad w eswed",IF(E294&lt;2000,"70s-90s",IF(E294&lt;2015,"2000s","Gedeed"))))</f>
        <v>Gedeed</v>
      </c>
      <c r="G294" s="10" t="s">
        <v>57</v>
      </c>
      <c r="H294" s="9" t="s">
        <v>32</v>
      </c>
      <c r="I294" s="11" t="s">
        <v>625</v>
      </c>
      <c r="J294" s="11"/>
      <c r="K294" s="11"/>
      <c r="L294" s="12" t="str">
        <f aca="false">IF(B294="","",IF(LEFT(TRIM(B294),2)="ال",MID(TRIM(B294),3,1),LEFT(TRIM(B294),1)))</f>
        <v>ب</v>
      </c>
      <c r="M294" s="7" t="n">
        <f aca="false">IF(B294="","",LEN(TRIM(B294))-LEN(SUBSTITUTE(TRIM(B294)," ",""))+1)</f>
        <v>2</v>
      </c>
      <c r="N294" s="10" t="s">
        <v>35</v>
      </c>
    </row>
    <row r="295" customFormat="false" ht="15" hidden="false" customHeight="false" outlineLevel="0" collapsed="false">
      <c r="A295" s="7" t="n">
        <v>294</v>
      </c>
      <c r="B295" s="8" t="s">
        <v>842</v>
      </c>
      <c r="C295" s="9" t="s">
        <v>843</v>
      </c>
      <c r="D295" s="10" t="s">
        <v>751</v>
      </c>
      <c r="E295" s="10" t="n">
        <v>2020</v>
      </c>
      <c r="F295" s="7" t="str">
        <f aca="false">IF(E295="","",IF(E295&lt;1970,"Abyad w eswed",IF(E295&lt;2000,"70s-90s",IF(E295&lt;2015,"2000s","Gedeed"))))</f>
        <v>Gedeed</v>
      </c>
      <c r="G295" s="10" t="s">
        <v>45</v>
      </c>
      <c r="H295" s="9" t="s">
        <v>32</v>
      </c>
      <c r="I295" s="11" t="s">
        <v>194</v>
      </c>
      <c r="J295" s="11" t="s">
        <v>842</v>
      </c>
      <c r="K295" s="11"/>
      <c r="L295" s="12" t="str">
        <f aca="false">IF(B295="","",IF(LEFT(TRIM(B295),2)="ال",MID(TRIM(B295),3,1),LEFT(TRIM(B295),1)))</f>
        <v>ف</v>
      </c>
      <c r="M295" s="7" t="n">
        <f aca="false">IF(B295="","",LEN(TRIM(B295))-LEN(SUBSTITUTE(TRIM(B295)," ",""))+1)</f>
        <v>1</v>
      </c>
      <c r="N295" s="10" t="s">
        <v>35</v>
      </c>
    </row>
    <row r="296" customFormat="false" ht="15" hidden="false" customHeight="false" outlineLevel="0" collapsed="false">
      <c r="A296" s="7" t="n">
        <v>295</v>
      </c>
      <c r="B296" s="8" t="s">
        <v>844</v>
      </c>
      <c r="C296" s="9" t="s">
        <v>845</v>
      </c>
      <c r="D296" s="10" t="s">
        <v>751</v>
      </c>
      <c r="E296" s="10" t="n">
        <v>2021</v>
      </c>
      <c r="F296" s="7" t="str">
        <f aca="false">IF(E296="","",IF(E296&lt;1970,"Abyad w eswed",IF(E296&lt;2000,"70s-90s",IF(E296&lt;2015,"2000s","Gedeed"))))</f>
        <v>Gedeed</v>
      </c>
      <c r="G296" s="10" t="s">
        <v>45</v>
      </c>
      <c r="H296" s="9" t="s">
        <v>53</v>
      </c>
      <c r="I296" s="11" t="s">
        <v>846</v>
      </c>
      <c r="J296" s="11" t="s">
        <v>847</v>
      </c>
      <c r="K296" s="11"/>
      <c r="L296" s="12" t="str">
        <f aca="false">IF(B296="","",IF(LEFT(TRIM(B296),2)="ال",MID(TRIM(B296),3,1),LEFT(TRIM(B296),1)))</f>
        <v>م</v>
      </c>
      <c r="M296" s="7" t="n">
        <f aca="false">IF(B296="","",LEN(TRIM(B296))-LEN(SUBSTITUTE(TRIM(B296)," ",""))+1)</f>
        <v>1</v>
      </c>
      <c r="N296" s="10" t="s">
        <v>35</v>
      </c>
    </row>
    <row r="297" customFormat="false" ht="15" hidden="false" customHeight="false" outlineLevel="0" collapsed="false">
      <c r="A297" s="7" t="n">
        <v>296</v>
      </c>
      <c r="B297" s="8" t="s">
        <v>848</v>
      </c>
      <c r="C297" s="9" t="s">
        <v>849</v>
      </c>
      <c r="D297" s="10" t="s">
        <v>751</v>
      </c>
      <c r="E297" s="10" t="n">
        <v>2021</v>
      </c>
      <c r="F297" s="7" t="str">
        <f aca="false">IF(E297="","",IF(E297&lt;1970,"Abyad w eswed",IF(E297&lt;2000,"70s-90s",IF(E297&lt;2015,"2000s","Gedeed"))))</f>
        <v>Gedeed</v>
      </c>
      <c r="G297" s="10" t="s">
        <v>31</v>
      </c>
      <c r="H297" s="9" t="s">
        <v>53</v>
      </c>
      <c r="I297" s="11" t="s">
        <v>392</v>
      </c>
      <c r="J297" s="11" t="s">
        <v>850</v>
      </c>
      <c r="K297" s="11"/>
      <c r="L297" s="12" t="str">
        <f aca="false">IF(B297="","",IF(LEFT(TRIM(B297),2)="ال",MID(TRIM(B297),3,1),LEFT(TRIM(B297),1)))</f>
        <v>ل</v>
      </c>
      <c r="M297" s="7" t="n">
        <f aca="false">IF(B297="","",LEN(TRIM(B297))-LEN(SUBSTITUTE(TRIM(B297)," ",""))+1)</f>
        <v>2</v>
      </c>
      <c r="N297" s="10" t="s">
        <v>35</v>
      </c>
    </row>
    <row r="298" customFormat="false" ht="15" hidden="false" customHeight="false" outlineLevel="0" collapsed="false">
      <c r="A298" s="7" t="n">
        <v>297</v>
      </c>
      <c r="B298" s="8" t="s">
        <v>851</v>
      </c>
      <c r="C298" s="9" t="s">
        <v>852</v>
      </c>
      <c r="D298" s="10" t="s">
        <v>751</v>
      </c>
      <c r="E298" s="10" t="n">
        <v>2021</v>
      </c>
      <c r="F298" s="7" t="str">
        <f aca="false">IF(E298="","",IF(E298&lt;1970,"Abyad w eswed",IF(E298&lt;2000,"70s-90s",IF(E298&lt;2015,"2000s","Gedeed"))))</f>
        <v>Gedeed</v>
      </c>
      <c r="G298" s="10" t="s">
        <v>45</v>
      </c>
      <c r="H298" s="9" t="s">
        <v>53</v>
      </c>
      <c r="I298" s="11" t="s">
        <v>582</v>
      </c>
      <c r="J298" s="11" t="s">
        <v>851</v>
      </c>
      <c r="K298" s="11"/>
      <c r="L298" s="12" t="str">
        <f aca="false">IF(B298="","",IF(LEFT(TRIM(B298),2)="ال",MID(TRIM(B298),3,1),LEFT(TRIM(B298),1)))</f>
        <v>م</v>
      </c>
      <c r="M298" s="7" t="n">
        <f aca="false">IF(B298="","",LEN(TRIM(B298))-LEN(SUBSTITUTE(TRIM(B298)," ",""))+1)</f>
        <v>1</v>
      </c>
      <c r="N298" s="10" t="s">
        <v>35</v>
      </c>
    </row>
    <row r="299" customFormat="false" ht="15" hidden="false" customHeight="false" outlineLevel="0" collapsed="false">
      <c r="A299" s="7" t="n">
        <v>298</v>
      </c>
      <c r="B299" s="8" t="s">
        <v>853</v>
      </c>
      <c r="C299" s="9" t="s">
        <v>854</v>
      </c>
      <c r="D299" s="10" t="s">
        <v>751</v>
      </c>
      <c r="E299" s="10" t="n">
        <v>2022</v>
      </c>
      <c r="F299" s="7" t="str">
        <f aca="false">IF(E299="","",IF(E299&lt;1970,"Abyad w eswed",IF(E299&lt;2000,"70s-90s",IF(E299&lt;2015,"2000s","Gedeed"))))</f>
        <v>Gedeed</v>
      </c>
      <c r="G299" s="10" t="s">
        <v>31</v>
      </c>
      <c r="H299" s="9" t="s">
        <v>53</v>
      </c>
      <c r="I299" s="11" t="s">
        <v>738</v>
      </c>
      <c r="J299" s="11"/>
      <c r="K299" s="11"/>
      <c r="L299" s="12" t="str">
        <f aca="false">IF(B299="","",IF(LEFT(TRIM(B299),2)="ال",MID(TRIM(B299),3,1),LEFT(TRIM(B299),1)))</f>
        <v>ج</v>
      </c>
      <c r="M299" s="7" t="n">
        <f aca="false">IF(B299="","",LEN(TRIM(B299))-LEN(SUBSTITUTE(TRIM(B299)," ",""))+1)</f>
        <v>2</v>
      </c>
      <c r="N299" s="10" t="s">
        <v>42</v>
      </c>
    </row>
    <row r="300" customFormat="false" ht="15" hidden="false" customHeight="false" outlineLevel="0" collapsed="false">
      <c r="A300" s="7" t="n">
        <v>299</v>
      </c>
      <c r="B300" s="8" t="s">
        <v>855</v>
      </c>
      <c r="C300" s="9" t="s">
        <v>856</v>
      </c>
      <c r="D300" s="10" t="s">
        <v>751</v>
      </c>
      <c r="E300" s="10" t="n">
        <v>2023</v>
      </c>
      <c r="F300" s="7" t="str">
        <f aca="false">IF(E300="","",IF(E300&lt;1970,"Abyad w eswed",IF(E300&lt;2000,"70s-90s",IF(E300&lt;2015,"2000s","Gedeed"))))</f>
        <v>Gedeed</v>
      </c>
      <c r="G300" s="10" t="s">
        <v>57</v>
      </c>
      <c r="H300" s="9" t="s">
        <v>53</v>
      </c>
      <c r="I300" s="11" t="s">
        <v>582</v>
      </c>
      <c r="J300" s="11" t="s">
        <v>855</v>
      </c>
      <c r="K300" s="11"/>
      <c r="L300" s="12" t="str">
        <f aca="false">IF(B300="","",IF(LEFT(TRIM(B300),2)="ال",MID(TRIM(B300),3,1),LEFT(TRIM(B300),1)))</f>
        <v>ج</v>
      </c>
      <c r="M300" s="7" t="n">
        <f aca="false">IF(B300="","",LEN(TRIM(B300))-LEN(SUBSTITUTE(TRIM(B300)," ",""))+1)</f>
        <v>2</v>
      </c>
      <c r="N300" s="10" t="s">
        <v>35</v>
      </c>
    </row>
    <row r="301" customFormat="false" ht="15" hidden="false" customHeight="false" outlineLevel="0" collapsed="false">
      <c r="A301" s="7" t="n">
        <v>300</v>
      </c>
      <c r="B301" s="8" t="s">
        <v>857</v>
      </c>
      <c r="C301" s="9" t="s">
        <v>858</v>
      </c>
      <c r="D301" s="10" t="s">
        <v>751</v>
      </c>
      <c r="E301" s="10" t="n">
        <v>2023</v>
      </c>
      <c r="F301" s="7" t="str">
        <f aca="false">IF(E301="","",IF(E301&lt;1970,"Abyad w eswed",IF(E301&lt;2000,"70s-90s",IF(E301&lt;2015,"2000s","Gedeed"))))</f>
        <v>Gedeed</v>
      </c>
      <c r="G301" s="10" t="s">
        <v>31</v>
      </c>
      <c r="H301" s="9" t="s">
        <v>114</v>
      </c>
      <c r="I301" s="11" t="s">
        <v>304</v>
      </c>
      <c r="J301" s="11" t="s">
        <v>859</v>
      </c>
      <c r="K301" s="11"/>
      <c r="L301" s="12" t="str">
        <f aca="false">IF(B301="","",IF(LEFT(TRIM(B301),2)="ال",MID(TRIM(B301),3,1),LEFT(TRIM(B301),1)))</f>
        <v>ر</v>
      </c>
      <c r="M301" s="7" t="n">
        <f aca="false">IF(B301="","",LEN(TRIM(B301))-LEN(SUBSTITUTE(TRIM(B301)," ",""))+1)</f>
        <v>2</v>
      </c>
      <c r="N301" s="10" t="s">
        <v>35</v>
      </c>
    </row>
    <row r="302" customFormat="false" ht="15" hidden="false" customHeight="false" outlineLevel="0" collapsed="false">
      <c r="A302" s="7" t="n">
        <v>301</v>
      </c>
      <c r="B302" s="8" t="s">
        <v>860</v>
      </c>
      <c r="C302" s="9" t="s">
        <v>861</v>
      </c>
      <c r="D302" s="10" t="s">
        <v>751</v>
      </c>
      <c r="E302" s="10" t="n">
        <v>2023</v>
      </c>
      <c r="F302" s="7" t="str">
        <f aca="false">IF(E302="","",IF(E302&lt;1970,"Abyad w eswed",IF(E302&lt;2000,"70s-90s",IF(E302&lt;2015,"2000s","Gedeed"))))</f>
        <v>Gedeed</v>
      </c>
      <c r="G302" s="10" t="s">
        <v>31</v>
      </c>
      <c r="H302" s="9" t="s">
        <v>53</v>
      </c>
      <c r="I302" s="11" t="s">
        <v>862</v>
      </c>
      <c r="J302" s="11"/>
      <c r="K302" s="11"/>
      <c r="L302" s="12" t="str">
        <f aca="false">IF(B302="","",IF(LEFT(TRIM(B302),2)="ال",MID(TRIM(B302),3,1),LEFT(TRIM(B302),1)))</f>
        <v>س</v>
      </c>
      <c r="M302" s="7" t="n">
        <f aca="false">IF(B302="","",LEN(TRIM(B302))-LEN(SUBSTITUTE(TRIM(B302)," ",""))+1)</f>
        <v>2</v>
      </c>
      <c r="N302" s="10" t="s">
        <v>42</v>
      </c>
    </row>
    <row r="303" customFormat="false" ht="15" hidden="false" customHeight="false" outlineLevel="0" collapsed="false">
      <c r="A303" s="7" t="n">
        <v>302</v>
      </c>
      <c r="B303" s="8" t="s">
        <v>863</v>
      </c>
      <c r="C303" s="9" t="s">
        <v>864</v>
      </c>
      <c r="D303" s="10" t="s">
        <v>751</v>
      </c>
      <c r="E303" s="10" t="n">
        <v>2023</v>
      </c>
      <c r="F303" s="7" t="str">
        <f aca="false">IF(E303="","",IF(E303&lt;1970,"Abyad w eswed",IF(E303&lt;2000,"70s-90s",IF(E303&lt;2015,"2000s","Gedeed"))))</f>
        <v>Gedeed</v>
      </c>
      <c r="G303" s="10" t="s">
        <v>45</v>
      </c>
      <c r="H303" s="9" t="s">
        <v>251</v>
      </c>
      <c r="I303" s="11" t="s">
        <v>865</v>
      </c>
      <c r="J303" s="11"/>
      <c r="K303" s="11"/>
      <c r="L303" s="12" t="str">
        <f aca="false">IF(B303="","",IF(LEFT(TRIM(B303),2)="ال",MID(TRIM(B303),3,1),LEFT(TRIM(B303),1)))</f>
        <v>ض</v>
      </c>
      <c r="M303" s="7" t="n">
        <f aca="false">IF(B303="","",LEN(TRIM(B303))-LEN(SUBSTITUTE(TRIM(B303)," ",""))+1)</f>
        <v>2</v>
      </c>
      <c r="N303" s="10" t="s">
        <v>42</v>
      </c>
    </row>
    <row r="304" customFormat="false" ht="15" hidden="false" customHeight="false" outlineLevel="0" collapsed="false">
      <c r="A304" s="7" t="n">
        <v>303</v>
      </c>
      <c r="B304" s="8" t="s">
        <v>866</v>
      </c>
      <c r="C304" s="9" t="s">
        <v>867</v>
      </c>
      <c r="D304" s="10" t="s">
        <v>751</v>
      </c>
      <c r="E304" s="10" t="n">
        <v>2024</v>
      </c>
      <c r="F304" s="7" t="str">
        <f aca="false">IF(E304="","",IF(E304&lt;1970,"Abyad w eswed",IF(E304&lt;2000,"70s-90s",IF(E304&lt;2015,"2000s","Gedeed"))))</f>
        <v>Gedeed</v>
      </c>
      <c r="G304" s="10" t="s">
        <v>45</v>
      </c>
      <c r="H304" s="9" t="s">
        <v>53</v>
      </c>
      <c r="I304" s="11" t="s">
        <v>868</v>
      </c>
      <c r="J304" s="11"/>
      <c r="K304" s="11"/>
      <c r="L304" s="12" t="str">
        <f aca="false">IF(B304="","",IF(LEFT(TRIM(B304),2)="ال",MID(TRIM(B304),3,1),LEFT(TRIM(B304),1)))</f>
        <v>أ</v>
      </c>
      <c r="M304" s="7" t="n">
        <f aca="false">IF(B304="","",LEN(TRIM(B304))-LEN(SUBSTITUTE(TRIM(B304)," ",""))+1)</f>
        <v>3</v>
      </c>
      <c r="N304" s="10" t="s">
        <v>42</v>
      </c>
    </row>
    <row r="305" customFormat="false" ht="15" hidden="false" customHeight="false" outlineLevel="0" collapsed="false">
      <c r="A305" s="7" t="n">
        <v>304</v>
      </c>
      <c r="B305" s="8" t="s">
        <v>869</v>
      </c>
      <c r="C305" s="9" t="s">
        <v>870</v>
      </c>
      <c r="D305" s="10" t="s">
        <v>751</v>
      </c>
      <c r="E305" s="10" t="n">
        <v>2024</v>
      </c>
      <c r="F305" s="7" t="str">
        <f aca="false">IF(E305="","",IF(E305&lt;1970,"Abyad w eswed",IF(E305&lt;2000,"70s-90s",IF(E305&lt;2015,"2000s","Gedeed"))))</f>
        <v>Gedeed</v>
      </c>
      <c r="G305" s="10" t="s">
        <v>45</v>
      </c>
      <c r="H305" s="9" t="s">
        <v>114</v>
      </c>
      <c r="I305" s="11" t="s">
        <v>373</v>
      </c>
      <c r="J305" s="11" t="s">
        <v>871</v>
      </c>
      <c r="K305" s="11"/>
      <c r="L305" s="12" t="str">
        <f aca="false">IF(B305="","",IF(LEFT(TRIM(B305),2)="ال",MID(TRIM(B305),3,1),LEFT(TRIM(B305),1)))</f>
        <v>ح</v>
      </c>
      <c r="M305" s="7" t="n">
        <f aca="false">IF(B305="","",LEN(TRIM(B305))-LEN(SUBSTITUTE(TRIM(B305)," ",""))+1)</f>
        <v>1</v>
      </c>
      <c r="N305" s="10" t="s">
        <v>35</v>
      </c>
    </row>
    <row r="306" customFormat="false" ht="15" hidden="false" customHeight="false" outlineLevel="0" collapsed="false">
      <c r="A306" s="7" t="n">
        <v>305</v>
      </c>
      <c r="B306" s="8" t="s">
        <v>872</v>
      </c>
      <c r="C306" s="9" t="s">
        <v>873</v>
      </c>
      <c r="D306" s="10" t="s">
        <v>751</v>
      </c>
      <c r="E306" s="10" t="n">
        <v>2024</v>
      </c>
      <c r="F306" s="7" t="str">
        <f aca="false">IF(E306="","",IF(E306&lt;1970,"Abyad w eswed",IF(E306&lt;2000,"70s-90s",IF(E306&lt;2015,"2000s","Gedeed"))))</f>
        <v>Gedeed</v>
      </c>
      <c r="G306" s="10" t="s">
        <v>45</v>
      </c>
      <c r="H306" s="9" t="s">
        <v>251</v>
      </c>
      <c r="I306" s="11" t="s">
        <v>348</v>
      </c>
      <c r="J306" s="11"/>
      <c r="K306" s="11"/>
      <c r="L306" s="12" t="str">
        <f aca="false">IF(B306="","",IF(LEFT(TRIM(B306),2)="ال",MID(TRIM(B306),3,1),LEFT(TRIM(B306),1)))</f>
        <v>ع</v>
      </c>
      <c r="M306" s="7" t="n">
        <f aca="false">IF(B306="","",LEN(TRIM(B306))-LEN(SUBSTITUTE(TRIM(B306)," ",""))+1)</f>
        <v>1</v>
      </c>
      <c r="N306" s="10" t="s">
        <v>42</v>
      </c>
    </row>
    <row r="307" customFormat="false" ht="15" hidden="false" customHeight="false" outlineLevel="0" collapsed="false">
      <c r="A307" s="7" t="n">
        <v>306</v>
      </c>
      <c r="B307" s="8" t="s">
        <v>874</v>
      </c>
      <c r="C307" s="9" t="s">
        <v>875</v>
      </c>
      <c r="D307" s="10" t="s">
        <v>751</v>
      </c>
      <c r="E307" s="10" t="n">
        <v>2024</v>
      </c>
      <c r="F307" s="7" t="str">
        <f aca="false">IF(E307="","",IF(E307&lt;1970,"Abyad w eswed",IF(E307&lt;2000,"70s-90s",IF(E307&lt;2015,"2000s","Gedeed"))))</f>
        <v>Gedeed</v>
      </c>
      <c r="G307" s="10" t="s">
        <v>45</v>
      </c>
      <c r="H307" s="9" t="s">
        <v>53</v>
      </c>
      <c r="I307" s="11" t="s">
        <v>876</v>
      </c>
      <c r="J307" s="11" t="s">
        <v>179</v>
      </c>
      <c r="K307" s="11"/>
      <c r="L307" s="12" t="str">
        <f aca="false">IF(B307="","",IF(LEFT(TRIM(B307),2)="ال",MID(TRIM(B307),3,1),LEFT(TRIM(B307),1)))</f>
        <v>ن</v>
      </c>
      <c r="M307" s="7" t="n">
        <f aca="false">IF(B307="","",LEN(TRIM(B307))-LEN(SUBSTITUTE(TRIM(B307)," ",""))+1)</f>
        <v>2</v>
      </c>
      <c r="N307" s="10" t="s">
        <v>35</v>
      </c>
    </row>
    <row r="308" customFormat="false" ht="15" hidden="false" customHeight="false" outlineLevel="0" collapsed="false">
      <c r="A308" s="7" t="n">
        <v>307</v>
      </c>
      <c r="B308" s="8" t="s">
        <v>877</v>
      </c>
      <c r="C308" s="9" t="s">
        <v>878</v>
      </c>
      <c r="D308" s="10" t="s">
        <v>879</v>
      </c>
      <c r="E308" s="10" t="n">
        <v>1994</v>
      </c>
      <c r="F308" s="7" t="str">
        <f aca="false">IF(E308="","",IF(E308&lt;1970,"Abyad w eswed",IF(E308&lt;2000,"70s-90s",IF(E308&lt;2015,"2000s","Gedeed"))))</f>
        <v>70s-90s</v>
      </c>
      <c r="G308" s="10" t="s">
        <v>57</v>
      </c>
      <c r="H308" s="9" t="s">
        <v>32</v>
      </c>
      <c r="I308" s="11" t="s">
        <v>880</v>
      </c>
      <c r="J308" s="11" t="s">
        <v>881</v>
      </c>
      <c r="K308" s="11"/>
      <c r="L308" s="12" t="str">
        <f aca="false">IF(B308="","",IF(LEFT(TRIM(B308),2)="ال",MID(TRIM(B308),3,1),LEFT(TRIM(B308),1)))</f>
        <v>ي</v>
      </c>
      <c r="M308" s="7" t="n">
        <f aca="false">IF(B308="","",LEN(TRIM(B308))-LEN(SUBSTITUTE(TRIM(B308)," ",""))+1)</f>
        <v>2</v>
      </c>
      <c r="N308" s="10" t="s">
        <v>35</v>
      </c>
    </row>
    <row r="309" customFormat="false" ht="15" hidden="false" customHeight="false" outlineLevel="0" collapsed="false">
      <c r="A309" s="7" t="n">
        <v>308</v>
      </c>
      <c r="B309" s="8" t="s">
        <v>882</v>
      </c>
      <c r="C309" s="9" t="s">
        <v>883</v>
      </c>
      <c r="D309" s="10" t="s">
        <v>879</v>
      </c>
      <c r="E309" s="10" t="n">
        <v>2006</v>
      </c>
      <c r="F309" s="7" t="str">
        <f aca="false">IF(E309="","",IF(E309&lt;1970,"Abyad w eswed",IF(E309&lt;2000,"70s-90s",IF(E309&lt;2015,"2000s","Gedeed"))))</f>
        <v>2000s</v>
      </c>
      <c r="G309" s="10" t="s">
        <v>57</v>
      </c>
      <c r="H309" s="9" t="s">
        <v>32</v>
      </c>
      <c r="I309" s="11" t="s">
        <v>426</v>
      </c>
      <c r="J309" s="11" t="s">
        <v>884</v>
      </c>
      <c r="K309" s="11"/>
      <c r="L309" s="12" t="str">
        <f aca="false">IF(B309="","",IF(LEFT(TRIM(B309),2)="ال",MID(TRIM(B309),3,1),LEFT(TRIM(B309),1)))</f>
        <v>ت</v>
      </c>
      <c r="M309" s="7" t="n">
        <f aca="false">IF(B309="","",LEN(TRIM(B309))-LEN(SUBSTITUTE(TRIM(B309)," ",""))+1)</f>
        <v>2</v>
      </c>
      <c r="N309" s="10" t="s">
        <v>35</v>
      </c>
    </row>
    <row r="310" customFormat="false" ht="15" hidden="false" customHeight="false" outlineLevel="0" collapsed="false">
      <c r="A310" s="7" t="n">
        <v>309</v>
      </c>
      <c r="B310" s="8" t="s">
        <v>885</v>
      </c>
      <c r="C310" s="9" t="s">
        <v>886</v>
      </c>
      <c r="D310" s="10" t="s">
        <v>879</v>
      </c>
      <c r="E310" s="10" t="n">
        <v>2006</v>
      </c>
      <c r="F310" s="7" t="str">
        <f aca="false">IF(E310="","",IF(E310&lt;1970,"Abyad w eswed",IF(E310&lt;2000,"70s-90s",IF(E310&lt;2015,"2000s","Gedeed"))))</f>
        <v>2000s</v>
      </c>
      <c r="G310" s="10" t="s">
        <v>57</v>
      </c>
      <c r="H310" s="9" t="s">
        <v>32</v>
      </c>
      <c r="I310" s="11" t="s">
        <v>887</v>
      </c>
      <c r="J310" s="11" t="s">
        <v>888</v>
      </c>
      <c r="K310" s="11"/>
      <c r="L310" s="12" t="str">
        <f aca="false">IF(B310="","",IF(LEFT(TRIM(B310),2)="ال",MID(TRIM(B310),3,1),LEFT(TRIM(B310),1)))</f>
        <v>ر</v>
      </c>
      <c r="M310" s="7" t="n">
        <f aca="false">IF(B310="","",LEN(TRIM(B310))-LEN(SUBSTITUTE(TRIM(B310)," ",""))+1)</f>
        <v>3</v>
      </c>
      <c r="N310" s="10" t="s">
        <v>35</v>
      </c>
    </row>
    <row r="311" customFormat="false" ht="15" hidden="false" customHeight="false" outlineLevel="0" collapsed="false">
      <c r="A311" s="7" t="n">
        <v>310</v>
      </c>
      <c r="B311" s="8" t="s">
        <v>889</v>
      </c>
      <c r="C311" s="9" t="s">
        <v>890</v>
      </c>
      <c r="D311" s="10" t="s">
        <v>891</v>
      </c>
      <c r="E311" s="10" t="n">
        <v>1963</v>
      </c>
      <c r="F311" s="7" t="str">
        <f aca="false">IF(E311="","",IF(E311&lt;1970,"Abyad w eswed",IF(E311&lt;2000,"70s-90s",IF(E311&lt;2015,"2000s","Gedeed"))))</f>
        <v>Abyad w eswed</v>
      </c>
      <c r="G311" s="10" t="s">
        <v>45</v>
      </c>
      <c r="H311" s="9" t="s">
        <v>32</v>
      </c>
      <c r="I311" s="11" t="s">
        <v>118</v>
      </c>
      <c r="J311" s="11"/>
      <c r="K311" s="11"/>
      <c r="L311" s="12" t="str">
        <f aca="false">IF(B311="","",IF(LEFT(TRIM(B311),2)="ال",MID(TRIM(B311),3,1),LEFT(TRIM(B311),1)))</f>
        <v>أ</v>
      </c>
      <c r="M311" s="7" t="n">
        <f aca="false">IF(B311="","",LEN(TRIM(B311))-LEN(SUBSTITUTE(TRIM(B311)," ",""))+1)</f>
        <v>3</v>
      </c>
      <c r="N311" s="10" t="s">
        <v>35</v>
      </c>
    </row>
    <row r="312" customFormat="false" ht="15" hidden="false" customHeight="false" outlineLevel="0" collapsed="false">
      <c r="A312" s="7" t="n">
        <v>311</v>
      </c>
      <c r="B312" s="8" t="s">
        <v>892</v>
      </c>
      <c r="C312" s="9" t="s">
        <v>893</v>
      </c>
      <c r="D312" s="10" t="s">
        <v>891</v>
      </c>
      <c r="E312" s="10" t="n">
        <v>1969</v>
      </c>
      <c r="F312" s="7" t="str">
        <f aca="false">IF(E312="","",IF(E312&lt;1970,"Abyad w eswed",IF(E312&lt;2000,"70s-90s",IF(E312&lt;2015,"2000s","Gedeed"))))</f>
        <v>Abyad w eswed</v>
      </c>
      <c r="G312" s="10" t="s">
        <v>45</v>
      </c>
      <c r="H312" s="9" t="s">
        <v>32</v>
      </c>
      <c r="I312" s="11" t="s">
        <v>118</v>
      </c>
      <c r="J312" s="11"/>
      <c r="K312" s="11"/>
      <c r="L312" s="12" t="str">
        <f aca="false">IF(B312="","",IF(LEFT(TRIM(B312),2)="ال",MID(TRIM(B312),3,1),LEFT(TRIM(B312),1)))</f>
        <v>س</v>
      </c>
      <c r="M312" s="7" t="n">
        <f aca="false">IF(B312="","",LEN(TRIM(B312))-LEN(SUBSTITUTE(TRIM(B312)," ",""))+1)</f>
        <v>2</v>
      </c>
      <c r="N312" s="10" t="s">
        <v>35</v>
      </c>
    </row>
    <row r="313" customFormat="false" ht="15" hidden="false" customHeight="false" outlineLevel="0" collapsed="false">
      <c r="A313" s="7" t="n">
        <v>312</v>
      </c>
      <c r="B313" s="8" t="s">
        <v>894</v>
      </c>
      <c r="C313" s="9" t="s">
        <v>895</v>
      </c>
      <c r="D313" s="10" t="s">
        <v>891</v>
      </c>
      <c r="E313" s="10" t="n">
        <v>1973</v>
      </c>
      <c r="F313" s="7" t="str">
        <f aca="false">IF(E313="","",IF(E313&lt;1970,"Abyad w eswed",IF(E313&lt;2000,"70s-90s",IF(E313&lt;2015,"2000s","Gedeed"))))</f>
        <v>70s-90s</v>
      </c>
      <c r="G313" s="10" t="s">
        <v>57</v>
      </c>
      <c r="H313" s="9" t="s">
        <v>32</v>
      </c>
      <c r="I313" s="11" t="s">
        <v>194</v>
      </c>
      <c r="J313" s="11" t="s">
        <v>896</v>
      </c>
      <c r="K313" s="11" t="s">
        <v>897</v>
      </c>
      <c r="L313" s="12" t="str">
        <f aca="false">IF(B313="","",IF(LEFT(TRIM(B313),2)="ال",MID(TRIM(B313),3,1),LEFT(TRIM(B313),1)))</f>
        <v>م</v>
      </c>
      <c r="M313" s="7" t="n">
        <f aca="false">IF(B313="","",LEN(TRIM(B313))-LEN(SUBSTITUTE(TRIM(B313)," ",""))+1)</f>
        <v>2</v>
      </c>
      <c r="N313" s="10" t="s">
        <v>35</v>
      </c>
    </row>
    <row r="314" customFormat="false" ht="15" hidden="false" customHeight="false" outlineLevel="0" collapsed="false">
      <c r="A314" s="7" t="n">
        <v>313</v>
      </c>
      <c r="B314" s="8" t="s">
        <v>898</v>
      </c>
      <c r="C314" s="9" t="s">
        <v>899</v>
      </c>
      <c r="D314" s="10" t="s">
        <v>891</v>
      </c>
      <c r="E314" s="10" t="n">
        <v>1975</v>
      </c>
      <c r="F314" s="7" t="str">
        <f aca="false">IF(E314="","",IF(E314&lt;1970,"Abyad w eswed",IF(E314&lt;2000,"70s-90s",IF(E314&lt;2015,"2000s","Gedeed"))))</f>
        <v>70s-90s</v>
      </c>
      <c r="G314" s="10" t="s">
        <v>45</v>
      </c>
      <c r="H314" s="9" t="s">
        <v>32</v>
      </c>
      <c r="I314" s="11" t="s">
        <v>880</v>
      </c>
      <c r="J314" s="11"/>
      <c r="K314" s="11"/>
      <c r="L314" s="12" t="str">
        <f aca="false">IF(B314="","",IF(LEFT(TRIM(B314),2)="ال",MID(TRIM(B314),3,1),LEFT(TRIM(B314),1)))</f>
        <v>ا</v>
      </c>
      <c r="M314" s="7" t="n">
        <f aca="false">IF(B314="","",LEN(TRIM(B314))-LEN(SUBSTITUTE(TRIM(B314)," ",""))+1)</f>
        <v>4</v>
      </c>
      <c r="N314" s="10" t="s">
        <v>42</v>
      </c>
    </row>
    <row r="315" customFormat="false" ht="15" hidden="false" customHeight="false" outlineLevel="0" collapsed="false">
      <c r="A315" s="7" t="n">
        <v>314</v>
      </c>
      <c r="B315" s="8" t="s">
        <v>900</v>
      </c>
      <c r="C315" s="9" t="s">
        <v>901</v>
      </c>
      <c r="D315" s="10" t="s">
        <v>891</v>
      </c>
      <c r="E315" s="10" t="n">
        <v>1976</v>
      </c>
      <c r="F315" s="7" t="str">
        <f aca="false">IF(E315="","",IF(E315&lt;1970,"Abyad w eswed",IF(E315&lt;2000,"70s-90s",IF(E315&lt;2015,"2000s","Gedeed"))))</f>
        <v>70s-90s</v>
      </c>
      <c r="G315" s="10" t="s">
        <v>57</v>
      </c>
      <c r="H315" s="9" t="s">
        <v>32</v>
      </c>
      <c r="I315" s="11" t="s">
        <v>194</v>
      </c>
      <c r="J315" s="11" t="s">
        <v>902</v>
      </c>
      <c r="K315" s="11"/>
      <c r="L315" s="12" t="str">
        <f aca="false">IF(B315="","",IF(LEFT(TRIM(B315),2)="ال",MID(TRIM(B315),3,1),LEFT(TRIM(B315),1)))</f>
        <v>ش</v>
      </c>
      <c r="M315" s="7" t="n">
        <f aca="false">IF(B315="","",LEN(TRIM(B315))-LEN(SUBSTITUTE(TRIM(B315)," ",""))+1)</f>
        <v>4</v>
      </c>
      <c r="N315" s="10" t="s">
        <v>35</v>
      </c>
    </row>
    <row r="316" customFormat="false" ht="15" hidden="false" customHeight="false" outlineLevel="0" collapsed="false">
      <c r="A316" s="7" t="n">
        <v>315</v>
      </c>
      <c r="B316" s="8" t="s">
        <v>903</v>
      </c>
      <c r="C316" s="9" t="s">
        <v>904</v>
      </c>
      <c r="D316" s="10" t="s">
        <v>891</v>
      </c>
      <c r="E316" s="10" t="n">
        <v>1978</v>
      </c>
      <c r="F316" s="7" t="str">
        <f aca="false">IF(E316="","",IF(E316&lt;1970,"Abyad w eswed",IF(E316&lt;2000,"70s-90s",IF(E316&lt;2015,"2000s","Gedeed"))))</f>
        <v>70s-90s</v>
      </c>
      <c r="G316" s="10" t="s">
        <v>45</v>
      </c>
      <c r="H316" s="9" t="s">
        <v>32</v>
      </c>
      <c r="I316" s="11" t="s">
        <v>905</v>
      </c>
      <c r="J316" s="11"/>
      <c r="K316" s="11"/>
      <c r="L316" s="12" t="str">
        <f aca="false">IF(B316="","",IF(LEFT(TRIM(B316),2)="ال",MID(TRIM(B316),3,1),LEFT(TRIM(B316),1)))</f>
        <v>م</v>
      </c>
      <c r="M316" s="7" t="n">
        <f aca="false">IF(B316="","",LEN(TRIM(B316))-LEN(SUBSTITUTE(TRIM(B316)," ",""))+1)</f>
        <v>1</v>
      </c>
      <c r="N316" s="10" t="s">
        <v>42</v>
      </c>
    </row>
    <row r="317" customFormat="false" ht="15" hidden="false" customHeight="false" outlineLevel="0" collapsed="false">
      <c r="A317" s="7" t="n">
        <v>316</v>
      </c>
      <c r="B317" s="8" t="s">
        <v>906</v>
      </c>
      <c r="C317" s="9" t="s">
        <v>907</v>
      </c>
      <c r="D317" s="10" t="s">
        <v>891</v>
      </c>
      <c r="E317" s="10" t="n">
        <v>1979</v>
      </c>
      <c r="F317" s="7" t="str">
        <f aca="false">IF(E317="","",IF(E317&lt;1970,"Abyad w eswed",IF(E317&lt;2000,"70s-90s",IF(E317&lt;2015,"2000s","Gedeed"))))</f>
        <v>70s-90s</v>
      </c>
      <c r="G317" s="10" t="s">
        <v>31</v>
      </c>
      <c r="H317" s="9" t="s">
        <v>32</v>
      </c>
      <c r="I317" s="11" t="s">
        <v>118</v>
      </c>
      <c r="J317" s="11"/>
      <c r="K317" s="11"/>
      <c r="L317" s="12" t="str">
        <f aca="false">IF(B317="","",IF(LEFT(TRIM(B317),2)="ال",MID(TRIM(B317),3,1),LEFT(TRIM(B317),1)))</f>
        <v>إ</v>
      </c>
      <c r="M317" s="7" t="n">
        <f aca="false">IF(B317="","",LEN(TRIM(B317))-LEN(SUBSTITUTE(TRIM(B317)," ",""))+1)</f>
        <v>4</v>
      </c>
      <c r="N317" s="10" t="s">
        <v>35</v>
      </c>
    </row>
    <row r="318" customFormat="false" ht="15" hidden="false" customHeight="false" outlineLevel="0" collapsed="false">
      <c r="A318" s="7" t="n">
        <v>317</v>
      </c>
      <c r="B318" s="8" t="s">
        <v>908</v>
      </c>
      <c r="C318" s="9" t="s">
        <v>909</v>
      </c>
      <c r="D318" s="10" t="s">
        <v>891</v>
      </c>
      <c r="E318" s="10" t="n">
        <v>1979</v>
      </c>
      <c r="F318" s="7" t="str">
        <f aca="false">IF(E318="","",IF(E318&lt;1970,"Abyad w eswed",IF(E318&lt;2000,"70s-90s",IF(E318&lt;2015,"2000s","Gedeed"))))</f>
        <v>70s-90s</v>
      </c>
      <c r="G318" s="10" t="s">
        <v>57</v>
      </c>
      <c r="H318" s="9" t="s">
        <v>32</v>
      </c>
      <c r="I318" s="11" t="s">
        <v>910</v>
      </c>
      <c r="J318" s="11" t="s">
        <v>911</v>
      </c>
      <c r="K318" s="11"/>
      <c r="L318" s="12" t="str">
        <f aca="false">IF(B318="","",IF(LEFT(TRIM(B318),2)="ال",MID(TRIM(B318),3,1),LEFT(TRIM(B318),1)))</f>
        <v>ع</v>
      </c>
      <c r="M318" s="7" t="n">
        <f aca="false">IF(B318="","",LEN(TRIM(B318))-LEN(SUBSTITUTE(TRIM(B318)," ",""))+1)</f>
        <v>2</v>
      </c>
      <c r="N318" s="10" t="s">
        <v>35</v>
      </c>
    </row>
    <row r="319" customFormat="false" ht="15" hidden="false" customHeight="false" outlineLevel="0" collapsed="false">
      <c r="A319" s="7" t="n">
        <v>318</v>
      </c>
      <c r="B319" s="8" t="s">
        <v>912</v>
      </c>
      <c r="C319" s="9" t="s">
        <v>913</v>
      </c>
      <c r="D319" s="10" t="s">
        <v>891</v>
      </c>
      <c r="E319" s="10" t="n">
        <v>1980</v>
      </c>
      <c r="F319" s="7" t="str">
        <f aca="false">IF(E319="","",IF(E319&lt;1970,"Abyad w eswed",IF(E319&lt;2000,"70s-90s",IF(E319&lt;2015,"2000s","Gedeed"))))</f>
        <v>70s-90s</v>
      </c>
      <c r="G319" s="10" t="s">
        <v>57</v>
      </c>
      <c r="H319" s="9" t="s">
        <v>32</v>
      </c>
      <c r="I319" s="11" t="s">
        <v>118</v>
      </c>
      <c r="J319" s="11"/>
      <c r="K319" s="11"/>
      <c r="L319" s="12" t="str">
        <f aca="false">IF(B319="","",IF(LEFT(TRIM(B319),2)="ال",MID(TRIM(B319),3,1),LEFT(TRIM(B319),1)))</f>
        <v>س</v>
      </c>
      <c r="M319" s="7" t="n">
        <f aca="false">IF(B319="","",LEN(TRIM(B319))-LEN(SUBSTITUTE(TRIM(B319)," ",""))+1)</f>
        <v>3</v>
      </c>
      <c r="N319" s="10" t="s">
        <v>42</v>
      </c>
    </row>
    <row r="320" customFormat="false" ht="15" hidden="false" customHeight="false" outlineLevel="0" collapsed="false">
      <c r="A320" s="7" t="n">
        <v>319</v>
      </c>
      <c r="B320" s="8" t="s">
        <v>914</v>
      </c>
      <c r="C320" s="9" t="s">
        <v>915</v>
      </c>
      <c r="D320" s="10" t="s">
        <v>891</v>
      </c>
      <c r="E320" s="10" t="n">
        <v>1981</v>
      </c>
      <c r="F320" s="7" t="str">
        <f aca="false">IF(E320="","",IF(E320&lt;1970,"Abyad w eswed",IF(E320&lt;2000,"70s-90s",IF(E320&lt;2015,"2000s","Gedeed"))))</f>
        <v>70s-90s</v>
      </c>
      <c r="G320" s="10" t="s">
        <v>45</v>
      </c>
      <c r="H320" s="9" t="s">
        <v>32</v>
      </c>
      <c r="I320" s="11" t="s">
        <v>905</v>
      </c>
      <c r="J320" s="11"/>
      <c r="K320" s="11"/>
      <c r="L320" s="12" t="str">
        <f aca="false">IF(B320="","",IF(LEFT(TRIM(B320),2)="ال",MID(TRIM(B320),3,1),LEFT(TRIM(B320),1)))</f>
        <v>أ</v>
      </c>
      <c r="M320" s="7" t="n">
        <f aca="false">IF(B320="","",LEN(TRIM(B320))-LEN(SUBSTITUTE(TRIM(B320)," ",""))+1)</f>
        <v>3</v>
      </c>
      <c r="N320" s="10" t="s">
        <v>42</v>
      </c>
    </row>
    <row r="321" customFormat="false" ht="15" hidden="false" customHeight="false" outlineLevel="0" collapsed="false">
      <c r="A321" s="7" t="n">
        <v>320</v>
      </c>
      <c r="B321" s="8" t="s">
        <v>916</v>
      </c>
      <c r="C321" s="9" t="s">
        <v>917</v>
      </c>
      <c r="D321" s="10" t="s">
        <v>891</v>
      </c>
      <c r="E321" s="10" t="n">
        <v>1983</v>
      </c>
      <c r="F321" s="7" t="str">
        <f aca="false">IF(E321="","",IF(E321&lt;1970,"Abyad w eswed",IF(E321&lt;2000,"70s-90s",IF(E321&lt;2015,"2000s","Gedeed"))))</f>
        <v>70s-90s</v>
      </c>
      <c r="G321" s="10" t="s">
        <v>57</v>
      </c>
      <c r="H321" s="9" t="s">
        <v>32</v>
      </c>
      <c r="I321" s="11" t="s">
        <v>152</v>
      </c>
      <c r="J321" s="11" t="s">
        <v>918</v>
      </c>
      <c r="K321" s="11"/>
      <c r="L321" s="12" t="str">
        <f aca="false">IF(B321="","",IF(LEFT(TRIM(B321),2)="ال",MID(TRIM(B321),3,1),LEFT(TRIM(B321),1)))</f>
        <v>ر</v>
      </c>
      <c r="M321" s="7" t="n">
        <f aca="false">IF(B321="","",LEN(TRIM(B321))-LEN(SUBSTITUTE(TRIM(B321)," ",""))+1)</f>
        <v>2</v>
      </c>
      <c r="N321" s="10" t="s">
        <v>35</v>
      </c>
    </row>
    <row r="322" customFormat="false" ht="15" hidden="false" customHeight="false" outlineLevel="0" collapsed="false">
      <c r="A322" s="7" t="n">
        <v>321</v>
      </c>
      <c r="B322" s="8" t="s">
        <v>919</v>
      </c>
      <c r="C322" s="9" t="s">
        <v>920</v>
      </c>
      <c r="D322" s="10" t="s">
        <v>891</v>
      </c>
      <c r="E322" s="10" t="n">
        <v>1985</v>
      </c>
      <c r="F322" s="7" t="str">
        <f aca="false">IF(E322="","",IF(E322&lt;1970,"Abyad w eswed",IF(E322&lt;2000,"70s-90s",IF(E322&lt;2015,"2000s","Gedeed"))))</f>
        <v>70s-90s</v>
      </c>
      <c r="G322" s="10" t="s">
        <v>45</v>
      </c>
      <c r="H322" s="9" t="s">
        <v>32</v>
      </c>
      <c r="I322" s="11" t="s">
        <v>880</v>
      </c>
      <c r="J322" s="11"/>
      <c r="K322" s="11"/>
      <c r="L322" s="12" t="str">
        <f aca="false">IF(B322="","",IF(LEFT(TRIM(B322),2)="ال",MID(TRIM(B322),3,1),LEFT(TRIM(B322),1)))</f>
        <v>ه</v>
      </c>
      <c r="M322" s="7" t="n">
        <f aca="false">IF(B322="","",LEN(TRIM(B322))-LEN(SUBSTITUTE(TRIM(B322)," ",""))+1)</f>
        <v>1</v>
      </c>
      <c r="N322" s="10" t="s">
        <v>35</v>
      </c>
    </row>
    <row r="323" customFormat="false" ht="15" hidden="false" customHeight="false" outlineLevel="0" collapsed="false">
      <c r="A323" s="7" t="n">
        <v>322</v>
      </c>
      <c r="B323" s="8" t="s">
        <v>921</v>
      </c>
      <c r="C323" s="9" t="s">
        <v>922</v>
      </c>
      <c r="D323" s="10" t="s">
        <v>891</v>
      </c>
      <c r="E323" s="10" t="n">
        <v>1985</v>
      </c>
      <c r="F323" s="7" t="str">
        <f aca="false">IF(E323="","",IF(E323&lt;1970,"Abyad w eswed",IF(E323&lt;2000,"70s-90s",IF(E323&lt;2015,"2000s","Gedeed"))))</f>
        <v>70s-90s</v>
      </c>
      <c r="G323" s="10" t="s">
        <v>57</v>
      </c>
      <c r="H323" s="9" t="s">
        <v>32</v>
      </c>
      <c r="I323" s="11" t="s">
        <v>194</v>
      </c>
      <c r="J323" s="11" t="s">
        <v>440</v>
      </c>
      <c r="K323" s="11"/>
      <c r="L323" s="12" t="str">
        <f aca="false">IF(B323="","",IF(LEFT(TRIM(B323),2)="ال",MID(TRIM(B323),3,1),LEFT(TRIM(B323),1)))</f>
        <v>و</v>
      </c>
      <c r="M323" s="7" t="n">
        <f aca="false">IF(B323="","",LEN(TRIM(B323))-LEN(SUBSTITUTE(TRIM(B323)," ",""))+1)</f>
        <v>3</v>
      </c>
      <c r="N323" s="10" t="s">
        <v>35</v>
      </c>
    </row>
    <row r="324" customFormat="false" ht="15" hidden="false" customHeight="false" outlineLevel="0" collapsed="false">
      <c r="A324" s="7" t="n">
        <v>323</v>
      </c>
      <c r="B324" s="8" t="s">
        <v>923</v>
      </c>
      <c r="C324" s="9" t="s">
        <v>924</v>
      </c>
      <c r="D324" s="10" t="s">
        <v>891</v>
      </c>
      <c r="E324" s="10" t="n">
        <v>1987</v>
      </c>
      <c r="F324" s="7" t="str">
        <f aca="false">IF(E324="","",IF(E324&lt;1970,"Abyad w eswed",IF(E324&lt;2000,"70s-90s",IF(E324&lt;2015,"2000s","Gedeed"))))</f>
        <v>70s-90s</v>
      </c>
      <c r="G324" s="10" t="s">
        <v>45</v>
      </c>
      <c r="H324" s="9" t="s">
        <v>32</v>
      </c>
      <c r="I324" s="11" t="s">
        <v>925</v>
      </c>
      <c r="J324" s="11"/>
      <c r="K324" s="11"/>
      <c r="L324" s="12" t="str">
        <f aca="false">IF(B324="","",IF(LEFT(TRIM(B324),2)="ال",MID(TRIM(B324),3,1),LEFT(TRIM(B324),1)))</f>
        <v>ع</v>
      </c>
      <c r="M324" s="7" t="n">
        <f aca="false">IF(B324="","",LEN(TRIM(B324))-LEN(SUBSTITUTE(TRIM(B324)," ",""))+1)</f>
        <v>2</v>
      </c>
      <c r="N324" s="10" t="s">
        <v>42</v>
      </c>
    </row>
    <row r="325" customFormat="false" ht="15" hidden="false" customHeight="false" outlineLevel="0" collapsed="false">
      <c r="A325" s="7" t="n">
        <v>324</v>
      </c>
      <c r="B325" s="8" t="s">
        <v>926</v>
      </c>
      <c r="C325" s="9" t="s">
        <v>927</v>
      </c>
      <c r="D325" s="10" t="s">
        <v>891</v>
      </c>
      <c r="E325" s="10" t="n">
        <v>1987</v>
      </c>
      <c r="F325" s="7" t="str">
        <f aca="false">IF(E325="","",IF(E325&lt;1970,"Abyad w eswed",IF(E325&lt;2000,"70s-90s",IF(E325&lt;2015,"2000s","Gedeed"))))</f>
        <v>70s-90s</v>
      </c>
      <c r="G325" s="10" t="s">
        <v>45</v>
      </c>
      <c r="H325" s="9" t="s">
        <v>32</v>
      </c>
      <c r="I325" s="11" t="s">
        <v>905</v>
      </c>
      <c r="J325" s="11" t="s">
        <v>220</v>
      </c>
      <c r="K325" s="11"/>
      <c r="L325" s="12" t="str">
        <f aca="false">IF(B325="","",IF(LEFT(TRIM(B325),2)="ال",MID(TRIM(B325),3,1),LEFT(TRIM(B325),1)))</f>
        <v>ف</v>
      </c>
      <c r="M325" s="7" t="n">
        <f aca="false">IF(B325="","",LEN(TRIM(B325))-LEN(SUBSTITUTE(TRIM(B325)," ",""))+1)</f>
        <v>3</v>
      </c>
      <c r="N325" s="10" t="s">
        <v>35</v>
      </c>
    </row>
    <row r="326" customFormat="false" ht="15" hidden="false" customHeight="false" outlineLevel="0" collapsed="false">
      <c r="A326" s="7" t="n">
        <v>325</v>
      </c>
      <c r="B326" s="8" t="s">
        <v>928</v>
      </c>
      <c r="C326" s="9" t="s">
        <v>929</v>
      </c>
      <c r="D326" s="10" t="s">
        <v>891</v>
      </c>
      <c r="E326" s="10" t="n">
        <v>1989</v>
      </c>
      <c r="F326" s="7" t="str">
        <f aca="false">IF(E326="","",IF(E326&lt;1970,"Abyad w eswed",IF(E326&lt;2000,"70s-90s",IF(E326&lt;2015,"2000s","Gedeed"))))</f>
        <v>70s-90s</v>
      </c>
      <c r="G326" s="10" t="s">
        <v>31</v>
      </c>
      <c r="H326" s="9" t="s">
        <v>32</v>
      </c>
      <c r="I326" s="11" t="s">
        <v>880</v>
      </c>
      <c r="J326" s="11"/>
      <c r="K326" s="11"/>
      <c r="L326" s="12" t="str">
        <f aca="false">IF(B326="","",IF(LEFT(TRIM(B326),2)="ال",MID(TRIM(B326),3,1),LEFT(TRIM(B326),1)))</f>
        <v>و</v>
      </c>
      <c r="M326" s="7" t="n">
        <f aca="false">IF(B326="","",LEN(TRIM(B326))-LEN(SUBSTITUTE(TRIM(B326)," ",""))+1)</f>
        <v>2</v>
      </c>
      <c r="N326" s="10" t="s">
        <v>42</v>
      </c>
    </row>
    <row r="327" customFormat="false" ht="15" hidden="false" customHeight="false" outlineLevel="0" collapsed="false">
      <c r="A327" s="7" t="n">
        <v>326</v>
      </c>
      <c r="B327" s="8" t="s">
        <v>930</v>
      </c>
      <c r="C327" s="9" t="s">
        <v>931</v>
      </c>
      <c r="D327" s="10" t="s">
        <v>891</v>
      </c>
      <c r="E327" s="10" t="n">
        <v>1993</v>
      </c>
      <c r="F327" s="7" t="str">
        <f aca="false">IF(E327="","",IF(E327&lt;1970,"Abyad w eswed",IF(E327&lt;2000,"70s-90s",IF(E327&lt;2015,"2000s","Gedeed"))))</f>
        <v>70s-90s</v>
      </c>
      <c r="G327" s="10" t="s">
        <v>45</v>
      </c>
      <c r="H327" s="9" t="s">
        <v>32</v>
      </c>
      <c r="I327" s="11" t="s">
        <v>194</v>
      </c>
      <c r="J327" s="11" t="s">
        <v>932</v>
      </c>
      <c r="K327" s="11"/>
      <c r="L327" s="12" t="str">
        <f aca="false">IF(B327="","",IF(LEFT(TRIM(B327),2)="ال",MID(TRIM(B327),3,1),LEFT(TRIM(B327),1)))</f>
        <v>ز</v>
      </c>
      <c r="M327" s="7" t="n">
        <f aca="false">IF(B327="","",LEN(TRIM(B327))-LEN(SUBSTITUTE(TRIM(B327)," ",""))+1)</f>
        <v>1</v>
      </c>
      <c r="N327" s="10" t="s">
        <v>35</v>
      </c>
    </row>
    <row r="328" customFormat="false" ht="15" hidden="false" customHeight="false" outlineLevel="0" collapsed="false">
      <c r="A328" s="7" t="n">
        <v>327</v>
      </c>
      <c r="B328" s="8" t="s">
        <v>933</v>
      </c>
      <c r="C328" s="9" t="s">
        <v>934</v>
      </c>
      <c r="D328" s="10" t="s">
        <v>891</v>
      </c>
      <c r="E328" s="10" t="n">
        <v>1999</v>
      </c>
      <c r="F328" s="7" t="str">
        <f aca="false">IF(E328="","",IF(E328&lt;1970,"Abyad w eswed",IF(E328&lt;2000,"70s-90s",IF(E328&lt;2015,"2000s","Gedeed"))))</f>
        <v>70s-90s</v>
      </c>
      <c r="G328" s="10" t="s">
        <v>45</v>
      </c>
      <c r="H328" s="9" t="s">
        <v>32</v>
      </c>
      <c r="I328" s="11" t="s">
        <v>194</v>
      </c>
      <c r="J328" s="11"/>
      <c r="K328" s="11"/>
      <c r="L328" s="12" t="str">
        <f aca="false">IF(B328="","",IF(LEFT(TRIM(B328),2)="ال",MID(TRIM(B328),3,1),LEFT(TRIM(B328),1)))</f>
        <v>ب</v>
      </c>
      <c r="M328" s="7" t="n">
        <f aca="false">IF(B328="","",LEN(TRIM(B328))-LEN(SUBSTITUTE(TRIM(B328)," ",""))+1)</f>
        <v>2</v>
      </c>
      <c r="N328" s="10" t="s">
        <v>35</v>
      </c>
    </row>
    <row r="329" customFormat="false" ht="15" hidden="false" customHeight="false" outlineLevel="0" collapsed="false">
      <c r="A329" s="7" t="n">
        <v>328</v>
      </c>
      <c r="B329" s="8" t="s">
        <v>935</v>
      </c>
      <c r="C329" s="9" t="s">
        <v>936</v>
      </c>
      <c r="D329" s="10" t="s">
        <v>891</v>
      </c>
      <c r="E329" s="10" t="n">
        <v>2001</v>
      </c>
      <c r="F329" s="7" t="str">
        <f aca="false">IF(E329="","",IF(E329&lt;1970,"Abyad w eswed",IF(E329&lt;2000,"70s-90s",IF(E329&lt;2015,"2000s","Gedeed"))))</f>
        <v>2000s</v>
      </c>
      <c r="G329" s="10" t="s">
        <v>31</v>
      </c>
      <c r="H329" s="9" t="s">
        <v>53</v>
      </c>
      <c r="I329" s="11" t="s">
        <v>697</v>
      </c>
      <c r="J329" s="11" t="s">
        <v>935</v>
      </c>
      <c r="K329" s="11"/>
      <c r="L329" s="12" t="str">
        <f aca="false">IF(B329="","",IF(LEFT(TRIM(B329),2)="ال",MID(TRIM(B329),3,1),LEFT(TRIM(B329),1)))</f>
        <v>م</v>
      </c>
      <c r="M329" s="7" t="n">
        <f aca="false">IF(B329="","",LEN(TRIM(B329))-LEN(SUBSTITUTE(TRIM(B329)," ",""))+1)</f>
        <v>2</v>
      </c>
      <c r="N329" s="10" t="s">
        <v>42</v>
      </c>
    </row>
    <row r="330" customFormat="false" ht="15" hidden="false" customHeight="false" outlineLevel="0" collapsed="false">
      <c r="A330" s="7" t="n">
        <v>329</v>
      </c>
      <c r="B330" s="8" t="s">
        <v>937</v>
      </c>
      <c r="C330" s="9" t="s">
        <v>938</v>
      </c>
      <c r="D330" s="10" t="s">
        <v>891</v>
      </c>
      <c r="E330" s="10" t="n">
        <v>2013</v>
      </c>
      <c r="F330" s="7" t="str">
        <f aca="false">IF(E330="","",IF(E330&lt;1970,"Abyad w eswed",IF(E330&lt;2000,"70s-90s",IF(E330&lt;2015,"2000s","Gedeed"))))</f>
        <v>2000s</v>
      </c>
      <c r="G330" s="10" t="s">
        <v>57</v>
      </c>
      <c r="H330" s="9" t="s">
        <v>32</v>
      </c>
      <c r="I330" s="11" t="s">
        <v>887</v>
      </c>
      <c r="J330" s="11"/>
      <c r="K330" s="11"/>
      <c r="L330" s="12" t="str">
        <f aca="false">IF(B330="","",IF(LEFT(TRIM(B330),2)="ال",MID(TRIM(B330),3,1),LEFT(TRIM(B330),1)))</f>
        <v>ت</v>
      </c>
      <c r="M330" s="7" t="n">
        <f aca="false">IF(B330="","",LEN(TRIM(B330))-LEN(SUBSTITUTE(TRIM(B330)," ",""))+1)</f>
        <v>2</v>
      </c>
      <c r="N330" s="10" t="s">
        <v>35</v>
      </c>
    </row>
  </sheetData>
  <autoFilter ref="A1:N330"/>
  <conditionalFormatting sqref="N2:N630">
    <cfRule type="expression" priority="2" aboveAverage="0" equalAverage="0" bottom="0" percent="0" rank="0" text="" dxfId="5">
      <formula>N2="Rage3ha"</formula>
    </cfRule>
    <cfRule type="expression" priority="3" aboveAverage="0" equalAverage="0" bottom="0" percent="0" rank="0" text="" dxfId="6">
      <formula>N2="Tamam"</formula>
    </cfRule>
    <cfRule type="expression" priority="4" aboveAverage="0" equalAverage="0" bottom="0" percent="0" rank="0" text="" dxfId="7">
      <formula>N2="Shilo"</formula>
    </cfRule>
  </conditionalFormatting>
  <dataValidations count="4">
    <dataValidation allowBlank="true" error="E5tar men el list" errorStyle="stop" errorTitle="Qeema ghalat" operator="between" showDropDown="false" showErrorMessage="false" showInputMessage="false" sqref="D2:D630" type="list">
      <formula1>"Film,Mosalsal,Ramadan,Sitcom,Masra7eya"</formula1>
      <formula2>0</formula2>
    </dataValidation>
    <dataValidation allowBlank="true" error="E5tar men el list" errorStyle="stop" errorTitle="Qeema ghalat" operator="between" showDropDown="false" showErrorMessage="false" showInputMessage="false" sqref="G2:G630" type="list">
      <formula1>"Sahl,Wasat,Sa3b"</formula1>
      <formula2>0</formula2>
    </dataValidation>
    <dataValidation allowBlank="true" error="E5tar men el list" errorStyle="stop" errorTitle="Qeema ghalat" operator="between" showDropDown="false" showErrorMessage="false" showInputMessage="false" sqref="H2:H630" type="list">
      <formula1>"Comedy,Drama,Action,Romance,Thriller,Horror,Crime,Musical,Ta2reekhy"</formula1>
      <formula2>0</formula2>
    </dataValidation>
    <dataValidation allowBlank="true" error="E5tar men el list" errorStyle="stop" errorTitle="Qeema ghalat" operator="between" showDropDown="false" showErrorMessage="false" showInputMessage="false" sqref="N2:N630" type="list">
      <formula1>"Draft,Rage3ha,Tamam,Shilo"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5"/>
  </cols>
  <sheetData>
    <row r="1" customFormat="false" ht="19.7" hidden="false" customHeight="false" outlineLevel="0" collapsed="false">
      <c r="A1" s="13" t="s">
        <v>939</v>
      </c>
    </row>
    <row r="3" customFormat="false" ht="15" hidden="false" customHeight="false" outlineLevel="0" collapsed="false">
      <c r="A3" s="14" t="s">
        <v>940</v>
      </c>
      <c r="B3" s="14" t="s">
        <v>941</v>
      </c>
      <c r="C3" s="14" t="s">
        <v>942</v>
      </c>
      <c r="D3" s="14" t="s">
        <v>943</v>
      </c>
      <c r="E3" s="14" t="s">
        <v>944</v>
      </c>
      <c r="F3" s="14" t="s">
        <v>945</v>
      </c>
    </row>
    <row r="4" customFormat="false" ht="15" hidden="false" customHeight="false" outlineLevel="0" collapsed="false">
      <c r="A4" s="15" t="s">
        <v>30</v>
      </c>
      <c r="B4" s="16" t="n">
        <f aca="false">COUNTIFS(3anaween!$D:$D,$A4,3anaween!$F:$F,B$3)</f>
        <v>39</v>
      </c>
      <c r="C4" s="16" t="n">
        <f aca="false">COUNTIFS(3anaween!$D:$D,$A4,3anaween!$F:$F,C$3)</f>
        <v>65</v>
      </c>
      <c r="D4" s="16" t="n">
        <f aca="false">COUNTIFS(3anaween!$D:$D,$A4,3anaween!$F:$F,D$3)</f>
        <v>106</v>
      </c>
      <c r="E4" s="16" t="n">
        <f aca="false">COUNTIFS(3anaween!$D:$D,$A4,3anaween!$F:$F,E$3)</f>
        <v>28</v>
      </c>
      <c r="F4" s="17" t="n">
        <f aca="false">SUM(B4:E4)</f>
        <v>238</v>
      </c>
    </row>
    <row r="5" customFormat="false" ht="15" hidden="false" customHeight="false" outlineLevel="0" collapsed="false">
      <c r="A5" s="15" t="s">
        <v>686</v>
      </c>
      <c r="B5" s="16" t="n">
        <f aca="false">COUNTIFS(3anaween!$D:$D,$A5,3anaween!$F:$F,B$3)</f>
        <v>0</v>
      </c>
      <c r="C5" s="16" t="n">
        <f aca="false">COUNTIFS(3anaween!$D:$D,$A5,3anaween!$F:$F,C$3)</f>
        <v>14</v>
      </c>
      <c r="D5" s="16" t="n">
        <f aca="false">COUNTIFS(3anaween!$D:$D,$A5,3anaween!$F:$F,D$3)</f>
        <v>0</v>
      </c>
      <c r="E5" s="16" t="n">
        <f aca="false">COUNTIFS(3anaween!$D:$D,$A5,3anaween!$F:$F,E$3)</f>
        <v>6</v>
      </c>
      <c r="F5" s="17" t="n">
        <f aca="false">SUM(B5:E5)</f>
        <v>20</v>
      </c>
    </row>
    <row r="6" customFormat="false" ht="15" hidden="false" customHeight="false" outlineLevel="0" collapsed="false">
      <c r="A6" s="15" t="s">
        <v>751</v>
      </c>
      <c r="B6" s="16" t="n">
        <f aca="false">COUNTIFS(3anaween!$D:$D,$A6,3anaween!$F:$F,B$3)</f>
        <v>0</v>
      </c>
      <c r="C6" s="16" t="n">
        <f aca="false">COUNTIFS(3anaween!$D:$D,$A6,3anaween!$F:$F,C$3)</f>
        <v>0</v>
      </c>
      <c r="D6" s="16" t="n">
        <f aca="false">COUNTIFS(3anaween!$D:$D,$A6,3anaween!$F:$F,D$3)</f>
        <v>15</v>
      </c>
      <c r="E6" s="16" t="n">
        <f aca="false">COUNTIFS(3anaween!$D:$D,$A6,3anaween!$F:$F,E$3)</f>
        <v>33</v>
      </c>
      <c r="F6" s="17" t="n">
        <f aca="false">SUM(B6:E6)</f>
        <v>48</v>
      </c>
    </row>
    <row r="7" customFormat="false" ht="15" hidden="false" customHeight="false" outlineLevel="0" collapsed="false">
      <c r="A7" s="15" t="s">
        <v>879</v>
      </c>
      <c r="B7" s="16" t="n">
        <f aca="false">COUNTIFS(3anaween!$D:$D,$A7,3anaween!$F:$F,B$3)</f>
        <v>0</v>
      </c>
      <c r="C7" s="16" t="n">
        <f aca="false">COUNTIFS(3anaween!$D:$D,$A7,3anaween!$F:$F,C$3)</f>
        <v>1</v>
      </c>
      <c r="D7" s="16" t="n">
        <f aca="false">COUNTIFS(3anaween!$D:$D,$A7,3anaween!$F:$F,D$3)</f>
        <v>2</v>
      </c>
      <c r="E7" s="16" t="n">
        <f aca="false">COUNTIFS(3anaween!$D:$D,$A7,3anaween!$F:$F,E$3)</f>
        <v>0</v>
      </c>
      <c r="F7" s="17" t="n">
        <f aca="false">SUM(B7:E7)</f>
        <v>3</v>
      </c>
    </row>
    <row r="8" customFormat="false" ht="15" hidden="false" customHeight="false" outlineLevel="0" collapsed="false">
      <c r="A8" s="15" t="s">
        <v>891</v>
      </c>
      <c r="B8" s="16" t="n">
        <f aca="false">COUNTIFS(3anaween!$D:$D,$A8,3anaween!$F:$F,B$3)</f>
        <v>2</v>
      </c>
      <c r="C8" s="16" t="n">
        <f aca="false">COUNTIFS(3anaween!$D:$D,$A8,3anaween!$F:$F,C$3)</f>
        <v>16</v>
      </c>
      <c r="D8" s="16" t="n">
        <f aca="false">COUNTIFS(3anaween!$D:$D,$A8,3anaween!$F:$F,D$3)</f>
        <v>2</v>
      </c>
      <c r="E8" s="16" t="n">
        <f aca="false">COUNTIFS(3anaween!$D:$D,$A8,3anaween!$F:$F,E$3)</f>
        <v>0</v>
      </c>
      <c r="F8" s="17" t="n">
        <f aca="false">SUM(B8:E8)</f>
        <v>20</v>
      </c>
    </row>
    <row r="9" customFormat="false" ht="15" hidden="false" customHeight="false" outlineLevel="0" collapsed="false">
      <c r="A9" s="15" t="s">
        <v>945</v>
      </c>
      <c r="B9" s="17" t="n">
        <f aca="false">SUM(B4:B8)</f>
        <v>41</v>
      </c>
      <c r="C9" s="17" t="n">
        <f aca="false">SUM(C4:C8)</f>
        <v>96</v>
      </c>
      <c r="D9" s="17" t="n">
        <f aca="false">SUM(D4:D8)</f>
        <v>125</v>
      </c>
      <c r="E9" s="17" t="n">
        <f aca="false">SUM(E4:E8)</f>
        <v>67</v>
      </c>
      <c r="F9" s="17" t="n">
        <f aca="false">SUM(F4:F8)</f>
        <v>329</v>
      </c>
    </row>
    <row r="11" customFormat="false" ht="15" hidden="false" customHeight="false" outlineLevel="0" collapsed="false">
      <c r="A11" s="18" t="s">
        <v>22</v>
      </c>
    </row>
    <row r="12" customFormat="false" ht="15" hidden="false" customHeight="false" outlineLevel="0" collapsed="false">
      <c r="A12" s="19" t="s">
        <v>57</v>
      </c>
      <c r="B12" s="19" t="n">
        <f aca="false">COUNTIF(3anaween!$G:$G,A12)</f>
        <v>58</v>
      </c>
    </row>
    <row r="13" customFormat="false" ht="15" hidden="false" customHeight="false" outlineLevel="0" collapsed="false">
      <c r="A13" s="19" t="s">
        <v>45</v>
      </c>
      <c r="B13" s="19" t="n">
        <f aca="false">COUNTIF(3anaween!$G:$G,A13)</f>
        <v>204</v>
      </c>
    </row>
    <row r="14" customFormat="false" ht="15" hidden="false" customHeight="false" outlineLevel="0" collapsed="false">
      <c r="A14" s="19" t="s">
        <v>31</v>
      </c>
      <c r="B14" s="19" t="n">
        <f aca="false">COUNTIF(3anaween!$G:$G,A14)</f>
        <v>67</v>
      </c>
    </row>
    <row r="16" customFormat="false" ht="15" hidden="false" customHeight="false" outlineLevel="0" collapsed="false">
      <c r="A16" s="18" t="s">
        <v>9</v>
      </c>
    </row>
    <row r="17" customFormat="false" ht="15" hidden="false" customHeight="false" outlineLevel="0" collapsed="false">
      <c r="A17" s="19" t="s">
        <v>35</v>
      </c>
      <c r="B17" s="19" t="n">
        <f aca="false">COUNTIF(3anaween!$N:$N,A17)</f>
        <v>288</v>
      </c>
    </row>
    <row r="18" customFormat="false" ht="15" hidden="false" customHeight="false" outlineLevel="0" collapsed="false">
      <c r="A18" s="19" t="s">
        <v>42</v>
      </c>
      <c r="B18" s="19" t="n">
        <f aca="false">COUNTIF(3anaween!$N:$N,A18)</f>
        <v>41</v>
      </c>
    </row>
    <row r="19" customFormat="false" ht="15" hidden="false" customHeight="false" outlineLevel="0" collapsed="false">
      <c r="A19" s="19" t="s">
        <v>946</v>
      </c>
      <c r="B19" s="19" t="n">
        <f aca="false">COUNTIF(3anaween!$N:$N,A19)</f>
        <v>0</v>
      </c>
    </row>
    <row r="20" customFormat="false" ht="15" hidden="false" customHeight="false" outlineLevel="0" collapsed="false">
      <c r="A20" s="19" t="s">
        <v>947</v>
      </c>
      <c r="B20" s="19" t="n">
        <f aca="false">COUNTIF(3anaween!$N:$N,A20)</f>
        <v>0</v>
      </c>
    </row>
    <row r="22" customFormat="false" ht="15" hidden="false" customHeight="false" outlineLevel="0" collapsed="false">
      <c r="A22" s="18" t="s">
        <v>948</v>
      </c>
    </row>
    <row r="23" customFormat="false" ht="15" hidden="false" customHeight="false" outlineLevel="0" collapsed="false">
      <c r="A23" s="19" t="s">
        <v>949</v>
      </c>
      <c r="B23" s="19" t="n">
        <f aca="false">COUNTIFS(3anaween!$B$2:$B$630,"&lt;&gt;",3anaween!$J$2:$J$630,"")</f>
        <v>165</v>
      </c>
    </row>
    <row r="24" customFormat="false" ht="15" hidden="false" customHeight="false" outlineLevel="0" collapsed="false">
      <c r="A24" s="19" t="s">
        <v>950</v>
      </c>
      <c r="B24" s="19" t="n">
        <f aca="false">COUNTIFS(3anaween!$B$2:$B$630,"&lt;&gt;",3anaween!$K$2:$K$630,"")</f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2026-10-24T01:41:28Z</dcterms:created>
  <dc:creator>openpyxl</dc:creator>
  <dc:description/>
  <dc:language>en-US</dc:language>
  <cp:lastModifiedBy/>
  <dcterms:modified xsi:type="dcterms:W3CDTF">2026-10-24T01:41:28Z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